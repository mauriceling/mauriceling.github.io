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showInkAnnotation="0" defaultThemeVersion="202300"/>
  <mc:AlternateContent xmlns:mc="http://schemas.openxmlformats.org/markup-compatibility/2006">
    <mc:Choice Requires="x15">
      <x15ac:absPath xmlns:x15ac="http://schemas.microsoft.com/office/spreadsheetml/2010/11/ac" url="C:\Dropbox\Briefcase\Manuscripts\"/>
    </mc:Choice>
  </mc:AlternateContent>
  <xr:revisionPtr revIDLastSave="0" documentId="13_ncr:1_{874F19BC-A0CF-49F8-90FE-599B7B1C081B}" xr6:coauthVersionLast="47" xr6:coauthVersionMax="47" xr10:uidLastSave="{00000000-0000-0000-0000-000000000000}"/>
  <bookViews>
    <workbookView xWindow="-110" yWindow="-110" windowWidth="19420" windowHeight="11500" xr2:uid="{00000000-000D-0000-FFFF-FFFF00000000}"/>
  </bookViews>
  <sheets>
    <sheet name="Screening" sheetId="1" r:id="rId1"/>
    <sheet name="Engines" sheetId="3" r:id="rId2"/>
    <sheet name="Applications" sheetId="4" r:id="rId3"/>
  </sheets>
  <definedNames>
    <definedName name="_xlnm._FilterDatabase" localSheetId="0" hidden="1">Screening!$A$1:$J$127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0" i="1" l="1"/>
  <c r="I129" i="1"/>
  <c r="H129" i="1"/>
  <c r="H130" i="1"/>
  <c r="E130" i="1"/>
  <c r="F130" i="1"/>
  <c r="G130" i="1"/>
  <c r="J130" i="1"/>
  <c r="D130" i="1"/>
  <c r="D129" i="1"/>
  <c r="D131" i="1" s="1"/>
  <c r="J129" i="1"/>
  <c r="G129" i="1"/>
  <c r="F129" i="1"/>
  <c r="E129" i="1"/>
  <c r="I131" i="1" l="1"/>
  <c r="F131" i="1"/>
  <c r="H131" i="1"/>
  <c r="J131" i="1"/>
  <c r="G131" i="1"/>
  <c r="E131" i="1"/>
</calcChain>
</file>

<file path=xl/sharedStrings.xml><?xml version="1.0" encoding="utf-8"?>
<sst xmlns="http://schemas.openxmlformats.org/spreadsheetml/2006/main" count="1151" uniqueCount="205">
  <si>
    <t xml:space="preserve">Title </t>
  </si>
  <si>
    <t>Year</t>
  </si>
  <si>
    <t>A: Full Text</t>
  </si>
  <si>
    <t>Beyond Antibodies: The DARPin® Drug Platform</t>
  </si>
  <si>
    <t>Y</t>
  </si>
  <si>
    <t>N</t>
  </si>
  <si>
    <t>Automated Platform for the Plasmid Construction Process</t>
  </si>
  <si>
    <t>Designing a Digital Medical Interview Assistant for Radiology.</t>
  </si>
  <si>
    <t xml:space="preserve"> 
Snakemake-a scalable bioinformatics workflow engine.</t>
  </si>
  <si>
    <t>croFGD: Catharanthus roseus Functional Genomics Database.</t>
  </si>
  <si>
    <t>Simplifying the development of portable, scalable, and reproducible workflows.</t>
  </si>
  <si>
    <t>Scipion-Chem: An Open Platform for Virtual Drug Screening</t>
  </si>
  <si>
    <t>DEWEY: the DICOM-enabled workflow engine system.</t>
  </si>
  <si>
    <t>GBS-DP: a bioinformatics pipeline for processing data coming from genotyping by sequencing.</t>
  </si>
  <si>
    <t>Research on Lightweight Microservice Composition Technology in Cloud-Edge Device Scenarios.</t>
  </si>
  <si>
    <t>Automatic Generation of Conditional Diagnostic Guidelines.</t>
  </si>
  <si>
    <t xml:space="preserve"> Practical guide for managing large-scale human genome data in research.</t>
  </si>
  <si>
    <t>GEMTELLIGENCE: Accelerating gemstone classification with deep learning.</t>
  </si>
  <si>
    <t>ScipionTomo: Towards cryo-electron tomography software integration, reproducibility, and validation.</t>
  </si>
  <si>
    <t>A high fidelity approach to assembling the complex Borrelia genome.</t>
  </si>
  <si>
    <t>A cervical cancer biorepository for pharmacogenomics research in Zimbabwe.</t>
  </si>
  <si>
    <t>Streamlined structure determination by cryo-electron tomography and subtomogram averaging using TomoBEAR.</t>
  </si>
  <si>
    <t>Integrating Bacterial ChIP-seq and RNA-seq Data With SnakeChunks.</t>
  </si>
  <si>
    <t>Building Automation Pipeline for Diagnostic Classification of Sporadic Odontogenic Keratocysts and Non-Keratocysts Using Whole-Slide Images.</t>
  </si>
  <si>
    <t>Integrating the BIDS Neuroimaging Data Format and Workflow Optimization for Large-Scale Medical Image Analysis.</t>
  </si>
  <si>
    <t>Automation of generative adversarial network-based synthetic data-augmentation for maximizing the diagnostic performance with paranasal imaging.</t>
  </si>
  <si>
    <t>SePIA: RNA and small RNA sequence processing, integration, and analysis.</t>
  </si>
  <si>
    <t>Challenge data set for macromolecular multi-microcrystallography.</t>
  </si>
  <si>
    <t>Scipion3: A workflow engine for cryo-electron microscopy image processing and structural biology.</t>
  </si>
  <si>
    <t>Distributed in-memory data management for workflow executions.</t>
  </si>
  <si>
    <t>Compi: a framework for portable and reproducible pipelines.</t>
  </si>
  <si>
    <t>Development and evaluation of a multi-epitope subunit vaccine against group B Streptococcus infection.</t>
  </si>
  <si>
    <t>BioUML: an integrated environment for systems biology and collaborative analysis of biomedical data.</t>
  </si>
  <si>
    <t>Design, construction, and validation of optogenetic proteins.</t>
  </si>
  <si>
    <t>Script of Scripts: A pragmatic workflow system for daily computational research.</t>
  </si>
  <si>
    <t>Implementation of workflow engine technology to deliver basic clinical decision support functionality.</t>
  </si>
  <si>
    <t>Improvement of a prediction model for heart failure survival through explainable artificial intelligence.</t>
  </si>
  <si>
    <t>Identification of Highly Conserved SARS-CoV-2 Antigenic Epitopes with Wide Coverage Using Reverse Vaccinology Approach.</t>
  </si>
  <si>
    <t>BioWMS: a web-based Workflow Management System for bioinformatics.</t>
  </si>
  <si>
    <t>Automated assembly of a reference taxonomy for phylogenetic data synthesis.</t>
  </si>
  <si>
    <t>SMITH: a LIMS for handling next-generation sequencing workflows.</t>
  </si>
  <si>
    <t>Construction of a specialized integrated simulation platform for molecule screening based on scientific computing workflow engine.</t>
  </si>
  <si>
    <t>Color constancy in single-exposure imaging and multi-exposure HDR imaging.</t>
  </si>
  <si>
    <t>Using crayfish behavior assay as a simple and sensitive model to evaluate potential adverse effects of water pollution: Emphasis on antidepressants.</t>
  </si>
  <si>
    <t>Tractor Workflow Pipeline: A Scalable Nextflow Framework for Local Ancestry-Aware Genome-Wide Association Studies.</t>
  </si>
  <si>
    <t>Preventing Diagnostic Errors in Ambulatory Care: An Electronic Notification Tool for Incomplete Radiology Tests.</t>
  </si>
  <si>
    <t>High-Throughput Phenotyping Accelerates the Dissection of the Phenotypic Variation and Genetic Architecture of Shank Vascular Bundles in Maize (Zea mays L.).</t>
  </si>
  <si>
    <t>RABIX: AN OPEN-SOURCE WORKFLOW EXECUTOR SUPPORTING RECOMPUTABILITY AND INTEROPERABILITY OF WORKFLOW DESCRIPTIONS.</t>
  </si>
  <si>
    <t>REdiii: a pipeline for automated structure solution.</t>
  </si>
  <si>
    <t>Crystal plasticity simulations with representative volume element of as-build laser powder bed fusion materials.</t>
  </si>
  <si>
    <t>Application of Knowledge Distillation Based on Transfer Learning of ERNIE Model in Intelligent Dialogue Intention Recognition.</t>
  </si>
  <si>
    <t>A personalized automated messaging system to improve adherence to prostate cancer screening: research protocol.</t>
  </si>
  <si>
    <t>Emergency treatment mechanism of laboratory safety accidents in university based on IoT and context aware computing.</t>
  </si>
  <si>
    <t>Scipion-EM-ProDy: A Graphical Interface for the ProDy Python Package within the Scipion Workflow Engine Enabling Integration of Databases, Simulations and Cryo-Electron Microscopy Image Processing.</t>
  </si>
  <si>
    <t>Assemblatron: An Automated Workflow for High-Throughput Assembly of Big-DNA Libraries.</t>
  </si>
  <si>
    <t>An injectable hydrogel containing N-acetylglycine for the treatment of Gaucher disease.</t>
  </si>
  <si>
    <t>A Hardware Accelerator for Real-Time Processing Platforms Used in Synthetic Aperture Radar Target Detection Tasks.</t>
  </si>
  <si>
    <t>Reproducible Large-Scale Neuroimaging Studies with the OpenMOLE Workflow Management System.</t>
  </si>
  <si>
    <t>A Guide to Measuring Heart and Respiratory Rates Based on Off-the-Shelf Photoplethysmographic Hardware and Open-Source Software.</t>
  </si>
  <si>
    <t>A multi-task pipeline with specialized streams for classification and segmentation of infection manifestations in COVID-19 scans.</t>
  </si>
  <si>
    <t>Dissecting the phenotypic components and genetic architecture of maize stem vascular bundles using high-throughput phenotypic analysis.</t>
  </si>
  <si>
    <t>A multi-task deep learning pipeline integrating vessel segmentation and radiomics for multiclass retinal disease classification.</t>
  </si>
  <si>
    <t>MrBUMP: an automated pipeline for molecular replacement.</t>
  </si>
  <si>
    <t>Building megaphylogenies for macroecology: taking up the challenge.</t>
  </si>
  <si>
    <t>Prospective Design, Rapid Prototyping, and Testing of Smart Dressings, Drug Delivery Patches, and Replacement Body Parts Using Microscopy Aided Design and ManufacturE (MADAME).</t>
  </si>
  <si>
    <t>Evaluation and Selection of Video Stabilization Techniques for UAV-Based Active Infrared Thermography Application.</t>
  </si>
  <si>
    <t>Techniques for accurate protein identification in shotgun proteomic studies of human, mouse, bovine, and chicken lenses.</t>
  </si>
  <si>
    <t>Analysis of the distribution of health services in the State of São Paulo: focus on Big Data.</t>
  </si>
  <si>
    <t>CDK-Taverna: an open workflow environment for cheminformatics.</t>
  </si>
  <si>
    <t>Prototype of Kepler Processing Workflows For Microscopy And Neuroinformatics.</t>
  </si>
  <si>
    <t>Development of a novel imaging informatics-based system with an intelligent workflow engine (IWEIS) to support imaging-based clinical trials.</t>
  </si>
  <si>
    <t>Data partitioning enables the use of standard SOAP Web Services in genome-scale workflows.</t>
  </si>
  <si>
    <t>Amodal Segmentation and Trait Extraction of On-Branch Soybean Pods with a Synthetic Dual-Mask Dataset.</t>
  </si>
  <si>
    <t>PET-Tool: a software suite for comprehensive processing and managing of Paired-End diTag (PET) sequence data.</t>
  </si>
  <si>
    <t>Enabling 3D-Liver Perfusion Mapping from MR-DCE Imaging Using Distributed Computing.</t>
  </si>
  <si>
    <t>Evaluation of the usage of an object-oriented lesson model to be implemented in medical virtual learning environments.</t>
  </si>
  <si>
    <t>Snakemake--a scalable bioinformatics workflow engine.</t>
  </si>
  <si>
    <t>MutateX: an automated pipeline for in silico saturation mutagenesis of protein structures and structural ensembles</t>
  </si>
  <si>
    <t>Generative Artificial Intelligence GPT-4 Accelerates Knowledge Mining and Machine Learning for Synthetic Biology</t>
  </si>
  <si>
    <t>Interoperability Is a Process - The Data Sharing Framework</t>
  </si>
  <si>
    <t>Handling Complexity in Decentralized Research Networks: The Data Sharing Framework Allowlist Management Application</t>
  </si>
  <si>
    <t>Image Processing in Cryo-Electron Microscopy of Single Particles: The Power of Combining Methods</t>
  </si>
  <si>
    <t>Automated Diagnosis of Autism Spectrum Disorder Condition Using Shape Based Features Extracted from Brainstem</t>
  </si>
  <si>
    <t>A workflow pipeline to distinguish the ambiguous umbilical cord bloods of boy-girl twins</t>
  </si>
  <si>
    <t>SGXPro: a parallel workflow engine enabling optimization of program performance and automation of structure determination</t>
  </si>
  <si>
    <t>Extraction and Digitization of ECG Signals from Standard Clinical Portable Document Format Files for the Principal Component Analysis of T-wave Morphology</t>
  </si>
  <si>
    <t>MRMPROBS suite for metabolomics using large-scale MRM assays.</t>
  </si>
  <si>
    <t>JigsawGAN: Auxiliary Learning for Solving Jigsaw Puzzles With Generative Adversarial Networks</t>
  </si>
  <si>
    <t>Measuring Cell Dimensions in Fission Yeast Using Machine Learning.</t>
  </si>
  <si>
    <t>Enhancing Data Protection via Auditable Informational Separation of Powers Between Workflow Engine Based Agents: Conceptualization, Implementation, and First Cross-Institutional Experiences.</t>
  </si>
  <si>
    <t>Workflow efficiency of two 1.5 T MR scanners with and without an automated user interface for head examinations</t>
  </si>
  <si>
    <t xml:space="preserve"> 
Analysis of the evolution of COVID-19 disease understanding through temporal knowledge graphs.</t>
  </si>
  <si>
    <t>Characterisation of genetic variation in ST8SIA2 and its interaction region in NCAM1 in patients with bipolar disorder</t>
  </si>
  <si>
    <t xml:space="preserve"> 
A TinyML Soft-Sensor Approach for Low-Cost Detection and Monitoring of Vehicular Emissions.</t>
  </si>
  <si>
    <t xml:space="preserve"> 
glyXtoolMS: An Open-Source Pipeline for Semiautomated Analysis of Glycopeptide Mass Spectrometry Data</t>
  </si>
  <si>
    <t>Exploring Intrinsic Discrimination and Consistency for Weakly Supervised Object Localization.</t>
  </si>
  <si>
    <t xml:space="preserve"> 
Concept and Implementation of Data Usage Proposal Process Based on International Standards in SMITH.</t>
  </si>
  <si>
    <t xml:space="preserve"> 
Workflows for automated downstream data analysis and visualization in large-scale computational mass spectrometry</t>
  </si>
  <si>
    <t>High-throughput protein crystallography and drug discovery.</t>
  </si>
  <si>
    <t>Design of a decision-support architecture for management of remotely monitored patients.</t>
  </si>
  <si>
    <t>Laboratory information management systems for DNA barcoding.</t>
  </si>
  <si>
    <t xml:space="preserve"> 
Conveyor: a workflow engine for bioinformatic analyses.</t>
  </si>
  <si>
    <t xml:space="preserve"> 
Executing Distributed Healthcare and Research Processes - The HiGHmed Data Sharing Framework.</t>
  </si>
  <si>
    <t>Implementation of various bowl designs in an HPDI natural gas engine focused on performance and pollutant emissions.</t>
  </si>
  <si>
    <t xml:space="preserve"> 
Kepler WebView: A Lightweight, Portable Framework for Constructing Real-time Web Interfaces of Scientific Workflows.</t>
  </si>
  <si>
    <t>Defining and reconstructing clinical processes based on IHE and BPMN 2.0.</t>
  </si>
  <si>
    <t>CU Partition Mode Decision for HEVC Hardwired Intra Encoder Using Convolution Neural Network.</t>
  </si>
  <si>
    <t xml:space="preserve"> 
Towards collaborative chronic care using a clinical guideline-based decision support system.</t>
  </si>
  <si>
    <t>Design patterns for clinical guidelines.</t>
  </si>
  <si>
    <t>Collaborative and workflow-oriented digital portfolio: Creating a web-based tool to support a nationwide program of practices evaluation in the blood transfusion area.</t>
  </si>
  <si>
    <t xml:space="preserve"> 
REX: response exploration for neuroimaging datasets.</t>
  </si>
  <si>
    <t xml:space="preserve"> 
Soarian--workflow management applied for health care.</t>
  </si>
  <si>
    <t>Process improvement of pap smear tracking in a women's medicine center clinic in residency training.</t>
  </si>
  <si>
    <t>Enterprise-wide PACS: beyond radiology, an architecture to manage all medical images.</t>
  </si>
  <si>
    <t>Processing two environmental chemical signals with a synthetic genetic IMPLY gate, a 2-input-2-output integrated logic circuit, and a process pipeline to optimize its systems chemistry in Escherichia coli.</t>
  </si>
  <si>
    <t xml:space="preserve"> 
Automated search-model discovery and preparation for structure solution by molecular replacement.</t>
  </si>
  <si>
    <t>miniTUBA: medical inference by network integration of temporal data using Bayesian analysis.</t>
  </si>
  <si>
    <t>The Taverna Interaction Service: enabling manual interaction in workflows.</t>
  </si>
  <si>
    <t xml:space="preserve"> 
An Easy Setup for Parallel Medical Image Processing: Using Taverna and ARC.</t>
  </si>
  <si>
    <t xml:space="preserve"> 
Wireless home monitoring and health care activity management through the Internet in patients with chronic diseases.</t>
  </si>
  <si>
    <t xml:space="preserve"> 
Medical image registration algorithms assesment: Bronze Standard application enactment on grids using the MOTEUR workflow engine.</t>
  </si>
  <si>
    <t xml:space="preserve"> 
A method for efficient execution of bioinformatics workflows.</t>
  </si>
  <si>
    <t>Computer-based physician order entry: implementation of clinical pathways.</t>
  </si>
  <si>
    <t xml:space="preserve"> 
Stroke navigator--a clinical decision support system for acute stroke.</t>
  </si>
  <si>
    <t>BALROG-ISO: a high-throughput pipeline for Bacterial AntimicrobiaL Resistance annOtation of Genomes-ISOlate whole genome.</t>
  </si>
  <si>
    <t>Systematic pharmacogenomics analysis of a Malay whole genome: proof of concept for personalized medicine.</t>
  </si>
  <si>
    <t>Deep learning and machine learning predictive models for neurological function after interventional embolization of intracranial aneurysms..</t>
  </si>
  <si>
    <t>PMID</t>
  </si>
  <si>
    <t xml:space="preserve">N </t>
  </si>
  <si>
    <t>Roma 2 Local Health Authority and Fondazione Baroni for the safety and accessibility of care: aninnovative telerehabilitation project for patients withspinal cord injuries</t>
  </si>
  <si>
    <t>Unveiling novel drug-target couples: an empowered automated pipeline for enhanced virtual screening using AutoDock Vina</t>
  </si>
  <si>
    <t>Scalable, reproducible, and cost-effective processing of large-scale medical imaging datasets</t>
  </si>
  <si>
    <t xml:space="preserve">C: English     </t>
  </si>
  <si>
    <t xml:space="preserve">D: Primary Literature </t>
  </si>
  <si>
    <t>E: Workflow Engine</t>
  </si>
  <si>
    <t>3-clause BSD license</t>
  </si>
  <si>
    <t>Python</t>
  </si>
  <si>
    <t>Linux, Macos</t>
  </si>
  <si>
    <t>closed source</t>
  </si>
  <si>
    <t>Java, C++, python</t>
  </si>
  <si>
    <t>No</t>
  </si>
  <si>
    <t>linux, windows</t>
  </si>
  <si>
    <t>https://snakemake.github.io/</t>
  </si>
  <si>
    <t>https://github.com/KudryashevLab/TomoBEAR</t>
  </si>
  <si>
    <t>GNU General Public License version 3</t>
  </si>
  <si>
    <t xml:space="preserve">https://github.com/SEPIA-Framework/sepia-stt-server </t>
  </si>
  <si>
    <t>https://github.com/scipion-em</t>
  </si>
  <si>
    <t xml:space="preserve">https://github.com/vatlab/SoS </t>
  </si>
  <si>
    <t>open academic release, BMC journal</t>
  </si>
  <si>
    <t>Java</t>
  </si>
  <si>
    <t>web based server</t>
  </si>
  <si>
    <t>Java/XPDL</t>
  </si>
  <si>
    <t>Apache 2.0 License</t>
  </si>
  <si>
    <t xml:space="preserve"> Python,JAVA</t>
  </si>
  <si>
    <t>HPC, local, cloud</t>
  </si>
  <si>
    <t>Multicore</t>
  </si>
  <si>
    <t>AGPL license</t>
  </si>
  <si>
    <t>Scala/DSL</t>
  </si>
  <si>
    <t>HPC cluster</t>
  </si>
  <si>
    <t>web server</t>
  </si>
  <si>
    <t>LGPL license</t>
  </si>
  <si>
    <t>BioWMS is a web based workflow management system for supporting in-silico bioinformatics experiments. BioWMS is designed to allow to define, execute and monitor workflows with standardised process definition languages. BioWMS provides an  interface for scientist to define and enact workflows through its web interface. BioWMS is desined to be compositional, allowing workflows to use other workflows as components. BioWMS was published in BMC Bioinformatics(2007). BioWMS was developed at the university of Camerino to reduce the technical barrier for biologist to use complex data analysis pipelines.</t>
  </si>
  <si>
    <t>In this paper, the author discuss the application of workflow engine technology to the domain of clinical decision support (CDS), speciafically with electronic health records (HER). The authors implemented an open source workflow suite using XPDL, which allows users to graphically model clinical decision logic. Major contribution of the author is the retrospectively testing of the decision logic against patient data, which is a major challenge in the implementstion of CDS technology. The system designed as user-friendly, flowchart based representation of the knowledge, which is vendor-independent, allowing for the potential integration of the system with any  EHR system. The paper was published in BMC Medical Research Methodology (2011)</t>
  </si>
  <si>
    <t>Rabix is a workflow execution engine for the common workflow language, which is a new standard for the description of portable and reporducible tools and bioinformatics workflows. The research emphasises the problem of reproducibility in the analysis of large biomedical data sets and propposes workflow executors as a potential solution to the problem. Rabix with CWL, features error logging, file management, optimization of job scheduling, and graph transformation of nested workflows, which improves the workflow execution process. By allowing downstream tools to begin execution as required inputs are available, Rabix improves the overall workflow runtime. The research was presented at the proceedings of the Pacific Symposium on Biocomputing (2026)</t>
  </si>
  <si>
    <t>Conveyor is described as a multi-layered generic bioinformatics workflow engine intended for workflow  composition, execution as well as monitoring. This tool is said to  exhibit an open architecture that is extensible in nature. Such an architecture is able to allow the  execution of tasks in an concurrent fashion. This is  particularly significant in order to effectively utilise modern CPU multi core technology. Unlike other simple workflow pipelines, it able to allow branches as well as loops in workflows. such characteristics enable it to support complex workflows.  The workflow is said to be decoupled from workflow execution management. This is particularly significant in order to enable researchers to effectively focus on biological analyses without concerns related to infrastructure. two examples of bioinformatics workflow were presented in this paer in order to illustrate the flexibility of the workflow engine. This paper was published in Bioinofrmatics in 2011.</t>
  </si>
  <si>
    <t>This research aims to examine the application of the OpenMole workflow mangament system for the conduct of reproducible large-scale neuroimaging research. The OpenMole workflow management system has the capacity to support the development of a domain specific language, which allows for the seamless distribution of computations across various computing environments with ability such as desktop environments and large high-performance computing environments, without need for modifications. The application of the workflow managemnet system has been demonstrated for the conduct of brain image analysis research, showing its capacity for the conduct of large-scale neuroimaging reserach involving thousands of individuals. The research was published in Frontiers in Neuroinformatics (2017)</t>
  </si>
  <si>
    <t>IWEIS stands for "Imaging Workflow Engine Inofrmatics Sytem" and its is a web based imaging informatics system that has been developed to support the management of imaging based clinical trials. It helps project coordinators to develop infrastructures for managing data in accordance with the study protocol without programming knowledge using its visual workflow designer. It also employs WADO for managing images and was implemented in the context of  a rehabilitation clinical trial. It can lead to signifiacnt reductions in costs compared to developing a system from scratch. This tool was published in "Computers in Biology and Medicine" in 2015 and is intended for researchers innvolved in clinical trials using images who do not have access to software engineering expertise</t>
  </si>
  <si>
    <t>Taverna Interaction service ia an extension to the scientific workflow system tarvena, intended to formalise and enable the integration of human interaction within otherwise largely automated workflows,. Acting as a bridge between automated workflow engine and human users, it introduces a pause at predetermined points in the workflow to solicit human input before proceeding. This is a fundamental requirement for workflows that involves processes requiring expertise, or decision making processes that cannot be fully automated. Both the Taverna software and the plugin for the interaction service are available for free and open source. Published in Bioinformatics (2008), this study is a key step towards filling a critical gap in the complete automation of complex life science research processes.</t>
  </si>
  <si>
    <t xml:space="preserve"> GN General Public License  v3 </t>
  </si>
  <si>
    <t>http://sourceforge.net/projects/sharkwf</t>
  </si>
  <si>
    <t>http://github.com/rabix/bunny</t>
  </si>
  <si>
    <t>open source, can't access</t>
  </si>
  <si>
    <t>https://openmole.org/</t>
  </si>
  <si>
    <t>https://taverna.apache.org</t>
  </si>
  <si>
    <t>Snakemake is a workflow management system that features a Pytho-like language for creating workflows, and also features an execution environment that scales from personal computers running on one core to computing clusters while not altering the workflow. One of its distinguishing features includes support for automatic inference of multiple named wildcards in input and output file names. The Snakemake workflows were inspired by the GNU MAke. where the rules are used to create workflows in terms of how output files depend on input files. This system basically consists of Python scripts, which include declarative elements for rules definition and creation.</t>
  </si>
  <si>
    <t>The DEWEY defines how the workflow engine can be deployed to improve efficiency in the radiology department of Mayo Clinic. The system is designed considering scalability, reliability and flexibility, which involves the use of many workflows, with one workflow replacing the existing  manual workflow. The architecture is made up of five core modules, namely: DICOM receiver/sender, message queue, database, workflow engine(Activiti), and compute server. The DWEY constantly evaluates the output from MR and CT machines, routing the scans in to the change detection and CAD algoritms, thus improving the efficiency of the examination conducted in the set period compared to huamn work.</t>
  </si>
  <si>
    <t>TomoBEAR workflow enine is modular and configurable, enabling users to optimize their workflows for subtomogram averaging with cryoelectron tomography datasets. It includes a set of commonly used cryo-Em software with sensible defaults, creating a transparent "white box" appraoch to handling and analyzing data. This system contains more than 20 modles, combining popular cryo-ET software programs like IMOD, Dynamo, MotionCor2, AreTomo, and  GCTF/CTFFIND4, as well as modern machine learning algorithms like IsoNet and crYOLO. TomoBEAR has been shown to be effective for purified protein complexes, RyR1 ion channel in its native lipid bilayer environment, and plasma Focused Ion Beam - milled lamellae, yielding structures at high resolutions with less manual input.</t>
  </si>
  <si>
    <t>SePIA is a  complete pipeline for the processing and analysis of small RNA and RNA sequences, wich allows the executioof more than 20 proven RNA-seq software directly upon an pproved workflow engine. SePIA's flexible pipeline design is capable of supporting the handling, analysing and integration of both small RNA and RNA sequence data. The implementatation of SePIA, using Docker framework increases its portability and usability, and the outcome data is presented in an easily navigable HTML report. SePIA as a highly modular framework that facilitates customisable exepriments in order to maintain the same workflow framework. The ffectiveness of  the proposed methodology is proven by two application [erformed on breast cancer datasets.</t>
  </si>
  <si>
    <t>YES</t>
  </si>
  <si>
    <t>NO</t>
  </si>
  <si>
    <t>Total</t>
  </si>
  <si>
    <t>Using Workflow Engine as tool</t>
  </si>
  <si>
    <t>Describing Workflow Engine</t>
  </si>
  <si>
    <t>HPC cluster and GPU nodes</t>
  </si>
  <si>
    <t>Python and C++</t>
  </si>
  <si>
    <t>Multi language</t>
  </si>
  <si>
    <t>SGXPro is described as parallel workflow engine which is designed specificallly for automated structural determination using X ray crystallography. The program incorporates several software packages in one single environment and allows the combination of algorithms without th eneed to worry about compatibility issues and file formats. Automated parameter search space optimization can be performed using this tool along with its client server approach to take advantage of distributed computing. PLug and play functionality of the software alllows easy incorporation of newer programs for future research needs.</t>
  </si>
  <si>
    <t>the Scipion3 is an engine which serves as a workflow platform for cryo-EM data nalysis and structural biology research. This software provides a common platform for combining various imaging algorithms within reproducible pipelines.Modularity  is considered th ekey aspect of Scipion3, which allows scientists to use different algorithms in one analysis and maintain its traceability and reproducibility at the same time. In addition, Scipion3 improves the user interface and automation options, which helps with the efficient processing of large volumes of data asscociated with cryo-EM experiments.</t>
  </si>
  <si>
    <t>The SoS workflow system is aimed at simplifying computatinonal research by incorporating different scripting languages into one single tool. It makes it possible to combineinteractive data exploration and analysis with structured workflow processes, making it easier to plan and run complicated computations efficiently. Some of its key features include multi-language scripting, dynamic reporting and execution on various paltforms, including high performance computer clusters. with the versatile syntax options that it offers, workflows can be defined in a process-oriented manner or in an outcone-oriented manner. This SoS workflo system is highly useful for exploratory research because of its ease to use, readability and reproducibility.</t>
  </si>
  <si>
    <t>Java and python</t>
  </si>
  <si>
    <t>the normalise stimulation is an system which utilises an automated stimulation platform that leverages wrokflow engie technology to facilitate molecular screening simulations in scientific research. The platform combines different computational programs to execute complicated simulations effectively. the use of workflow engine technology enables coordination of task scheduling and execution. the design allows easy addition of new workflows and programs in the future. it can perform simulations at high performance levels. however, the paper lacks detailed information on implementation details, such as coding languages, software licenses, or open source, so there is limit reproducibility.</t>
  </si>
  <si>
    <t>GNU General Public License</t>
  </si>
  <si>
    <t>java and multi language</t>
  </si>
  <si>
    <t>not stated</t>
  </si>
  <si>
    <t>BSD 3-clause</t>
  </si>
  <si>
    <t>Not stated</t>
  </si>
  <si>
    <t>No stated</t>
  </si>
  <si>
    <t>Construction of a specialized integrated simulation platform for molecule screening based on scientific computing workflow engine. (HSWAP)</t>
  </si>
  <si>
    <r>
      <t xml:space="preserve"> 
Workflow management with systems approach: anticipated and ad-hoc workflow for scientific applications</t>
    </r>
    <r>
      <rPr>
        <sz val="12"/>
        <color rgb="FFC00000"/>
        <rFont val="Times New Roman"/>
        <family val="1"/>
      </rPr>
      <t>. (RETRACTION IN : ISA Trans. 2002 Apr;41(2):271. doi: 10.1016/s0019-0578(07)60086-x.</t>
    </r>
    <r>
      <rPr>
        <sz val="12"/>
        <color theme="1"/>
        <rFont val="Times New Roman"/>
        <family val="1"/>
      </rPr>
      <t xml:space="preserve"> </t>
    </r>
  </si>
  <si>
    <t>A: Repository</t>
  </si>
  <si>
    <t>B: License</t>
  </si>
  <si>
    <t>C:Programming Languages</t>
  </si>
  <si>
    <t>D: Operating System</t>
  </si>
  <si>
    <t>E: Description</t>
  </si>
  <si>
    <t>B: Not Retracted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</si>
</sst>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color theme="1"/>
      <name val="Aptos Narrow"/>
      <family val="2"/>
      <scheme val="minor"/>
    </font>
    <font>
      <sz val="12"/>
      <color rgb="FF212121"/>
      <name val="Times New Roman"/>
      <family val="1"/>
    </font>
    <font>
      <sz val="12"/>
      <color theme="1"/>
      <name val="Times New Roman"/>
      <family val="1"/>
    </font>
    <font>
      <sz val="12"/>
      <color rgb="FF000000"/>
      <name val="Times New Roman"/>
      <family val="1"/>
    </font>
    <font>
      <sz val="12"/>
      <color rgb="FFC00000"/>
      <name val="Times New Roman"/>
      <family val="1"/>
    </font>
    <font>
      <b/>
      <sz val="12"/>
      <color theme="1"/>
      <name val="Times New Roman"/>
      <family val="1"/>
    </font>
    <font>
      <u/>
      <sz val="12"/>
      <color theme="10"/>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3" fillId="0" borderId="1" xfId="0" applyFont="1" applyBorder="1" applyAlignment="1">
      <alignment vertical="center" wrapText="1"/>
    </xf>
    <xf numFmtId="0" fontId="3" fillId="0" borderId="0" xfId="0" applyFont="1" applyAlignment="1">
      <alignment vertical="center" wrapText="1"/>
    </xf>
    <xf numFmtId="0" fontId="4" fillId="0" borderId="1" xfId="0" applyFont="1" applyBorder="1" applyAlignment="1">
      <alignment wrapText="1"/>
    </xf>
    <xf numFmtId="0" fontId="4" fillId="0" borderId="1" xfId="0" applyFont="1" applyBorder="1"/>
    <xf numFmtId="0" fontId="4" fillId="2" borderId="1" xfId="0" applyFont="1" applyFill="1" applyBorder="1"/>
    <xf numFmtId="0" fontId="4" fillId="0" borderId="1" xfId="1" applyFont="1" applyBorder="1"/>
    <xf numFmtId="0" fontId="4" fillId="0" borderId="1" xfId="0" applyFont="1" applyBorder="1" applyAlignment="1">
      <alignment vertical="top" wrapText="1"/>
    </xf>
    <xf numFmtId="0" fontId="5" fillId="0" borderId="1" xfId="0" applyFont="1" applyBorder="1" applyAlignment="1">
      <alignment vertical="center" wrapText="1"/>
    </xf>
    <xf numFmtId="0" fontId="3" fillId="0" borderId="1" xfId="0" applyFont="1" applyBorder="1"/>
    <xf numFmtId="0" fontId="4" fillId="0" borderId="1" xfId="1" applyFont="1" applyBorder="1" applyAlignment="1">
      <alignment vertical="center" wrapText="1"/>
    </xf>
    <xf numFmtId="0" fontId="3" fillId="0" borderId="1" xfId="0" applyFont="1" applyBorder="1" applyAlignment="1">
      <alignment horizontal="right" vertical="center" wrapText="1" indent="1"/>
    </xf>
    <xf numFmtId="0" fontId="4" fillId="0" borderId="0" xfId="0" applyFont="1" applyAlignment="1">
      <alignment wrapText="1"/>
    </xf>
    <xf numFmtId="0" fontId="4" fillId="0" borderId="0" xfId="0" applyFont="1"/>
    <xf numFmtId="0" fontId="4" fillId="2" borderId="0" xfId="0" applyFont="1" applyFill="1"/>
    <xf numFmtId="0" fontId="7" fillId="0" borderId="1" xfId="0" applyFont="1" applyBorder="1" applyAlignment="1">
      <alignment wrapText="1"/>
    </xf>
    <xf numFmtId="0" fontId="2" fillId="0" borderId="0" xfId="0" applyFont="1" applyAlignment="1">
      <alignment wrapText="1"/>
    </xf>
    <xf numFmtId="0" fontId="7" fillId="0" borderId="0" xfId="0" applyFont="1" applyAlignment="1">
      <alignment wrapText="1"/>
    </xf>
    <xf numFmtId="0" fontId="8" fillId="0" borderId="1" xfId="1" applyFont="1" applyBorder="1" applyAlignment="1">
      <alignment wrapText="1"/>
    </xf>
    <xf numFmtId="0" fontId="0" fillId="0" borderId="0" xfId="0" applyAlignment="1">
      <alignment wrapText="1"/>
    </xf>
    <xf numFmtId="0" fontId="3" fillId="0" borderId="1" xfId="0" applyFont="1" applyBorder="1" applyAlignment="1">
      <alignment wrapText="1"/>
    </xf>
  </cellXfs>
  <cellStyles count="2">
    <cellStyle name="Hyperlink" xfId="1" builtinId="8"/>
    <cellStyle name="Normal" xfId="0" builtinId="0"/>
  </cellStyles>
  <dxfs count="2">
    <dxf>
      <fill>
        <patternFill>
          <bgColor rgb="FF92D05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openmole.org/" TargetMode="External"/><Relationship Id="rId3" Type="http://schemas.openxmlformats.org/officeDocument/2006/relationships/hyperlink" Target="https://github.com/SEPIA-Framework/sepia-stt-server" TargetMode="External"/><Relationship Id="rId7" Type="http://schemas.openxmlformats.org/officeDocument/2006/relationships/hyperlink" Target="http://github.com/rabix/bunny" TargetMode="External"/><Relationship Id="rId2" Type="http://schemas.openxmlformats.org/officeDocument/2006/relationships/hyperlink" Target="https://github.com/KudryashevLab/TomoBEAR" TargetMode="External"/><Relationship Id="rId1" Type="http://schemas.openxmlformats.org/officeDocument/2006/relationships/hyperlink" Target="https://snakemake.github.io/" TargetMode="External"/><Relationship Id="rId6" Type="http://schemas.openxmlformats.org/officeDocument/2006/relationships/hyperlink" Target="http://sourceforge.net/projects/sharkwf" TargetMode="External"/><Relationship Id="rId5" Type="http://schemas.openxmlformats.org/officeDocument/2006/relationships/hyperlink" Target="https://github.com/vatlab/SoS" TargetMode="External"/><Relationship Id="rId4" Type="http://schemas.openxmlformats.org/officeDocument/2006/relationships/hyperlink" Target="https://github.com/scipion-em" TargetMode="External"/><Relationship Id="rId9" Type="http://schemas.openxmlformats.org/officeDocument/2006/relationships/hyperlink" Target="https://taverna.apache.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23DE-1CEB-BA41-BCF2-A0881279114A}">
  <sheetPr codeName="Sheet1"/>
  <dimension ref="A1:J131"/>
  <sheetViews>
    <sheetView tabSelected="1" zoomScaleNormal="100" zoomScaleSheetLayoutView="100" workbookViewId="0">
      <pane ySplit="1" topLeftCell="A2" activePane="bottomLeft" state="frozen"/>
      <selection pane="bottomLeft" activeCell="B73" sqref="B73"/>
    </sheetView>
  </sheetViews>
  <sheetFormatPr defaultRowHeight="14.5" x14ac:dyDescent="0.35"/>
  <cols>
    <col min="1" max="1" width="11.26953125" customWidth="1"/>
    <col min="2" max="2" width="69.36328125" customWidth="1"/>
    <col min="5" max="5" width="11.26953125" customWidth="1"/>
    <col min="7" max="7" width="11.6328125" customWidth="1"/>
    <col min="8" max="8" width="10.54296875" customWidth="1"/>
    <col min="9" max="10" width="11.7265625" customWidth="1"/>
  </cols>
  <sheetData>
    <row r="1" spans="1:10" s="16" customFormat="1" ht="60.5" x14ac:dyDescent="0.35">
      <c r="A1" s="15" t="s">
        <v>127</v>
      </c>
      <c r="B1" s="15" t="s">
        <v>0</v>
      </c>
      <c r="C1" s="15" t="s">
        <v>1</v>
      </c>
      <c r="D1" s="15" t="s">
        <v>2</v>
      </c>
      <c r="E1" s="15" t="s">
        <v>204</v>
      </c>
      <c r="F1" s="15" t="s">
        <v>132</v>
      </c>
      <c r="G1" s="15" t="s">
        <v>133</v>
      </c>
      <c r="H1" s="15" t="s">
        <v>134</v>
      </c>
      <c r="I1" s="15" t="s">
        <v>182</v>
      </c>
      <c r="J1" s="15" t="s">
        <v>181</v>
      </c>
    </row>
    <row r="2" spans="1:10" ht="15.5" x14ac:dyDescent="0.35">
      <c r="A2" s="4">
        <v>32583318</v>
      </c>
      <c r="B2" s="4" t="s">
        <v>3</v>
      </c>
      <c r="C2" s="4">
        <v>2020</v>
      </c>
      <c r="D2" s="4" t="s">
        <v>5</v>
      </c>
      <c r="E2" s="4" t="s">
        <v>5</v>
      </c>
      <c r="F2" s="4" t="s">
        <v>5</v>
      </c>
      <c r="G2" s="4" t="s">
        <v>5</v>
      </c>
      <c r="H2" s="4" t="s">
        <v>5</v>
      </c>
      <c r="I2" s="4" t="s">
        <v>5</v>
      </c>
      <c r="J2" s="4" t="s">
        <v>5</v>
      </c>
    </row>
    <row r="3" spans="1:10" ht="15.5" x14ac:dyDescent="0.35">
      <c r="A3" s="4">
        <v>37172153</v>
      </c>
      <c r="B3" s="4" t="s">
        <v>7</v>
      </c>
      <c r="C3" s="4">
        <v>2023</v>
      </c>
      <c r="D3" s="4" t="s">
        <v>5</v>
      </c>
      <c r="E3" s="4" t="s">
        <v>5</v>
      </c>
      <c r="F3" s="4" t="s">
        <v>5</v>
      </c>
      <c r="G3" s="4" t="s">
        <v>5</v>
      </c>
      <c r="H3" s="4" t="s">
        <v>5</v>
      </c>
      <c r="I3" s="4" t="s">
        <v>5</v>
      </c>
      <c r="J3" s="4" t="s">
        <v>5</v>
      </c>
    </row>
    <row r="4" spans="1:10" ht="15.5" x14ac:dyDescent="0.35">
      <c r="A4" s="3">
        <v>37948662</v>
      </c>
      <c r="B4" s="4" t="s">
        <v>6</v>
      </c>
      <c r="C4" s="4">
        <v>2023</v>
      </c>
      <c r="D4" s="4" t="s">
        <v>4</v>
      </c>
      <c r="E4" s="4" t="s">
        <v>4</v>
      </c>
      <c r="F4" s="5" t="s">
        <v>4</v>
      </c>
      <c r="G4" s="5" t="s">
        <v>4</v>
      </c>
      <c r="H4" s="5" t="s">
        <v>5</v>
      </c>
      <c r="I4" s="4" t="s">
        <v>5</v>
      </c>
      <c r="J4" s="4" t="s">
        <v>5</v>
      </c>
    </row>
    <row r="5" spans="1:10" ht="15.5" x14ac:dyDescent="0.35">
      <c r="A5" s="3">
        <v>34643507</v>
      </c>
      <c r="B5" s="4" t="s">
        <v>10</v>
      </c>
      <c r="C5" s="4">
        <v>2021</v>
      </c>
      <c r="D5" s="4" t="s">
        <v>4</v>
      </c>
      <c r="E5" s="4" t="s">
        <v>4</v>
      </c>
      <c r="F5" s="5" t="s">
        <v>4</v>
      </c>
      <c r="G5" s="4" t="s">
        <v>4</v>
      </c>
      <c r="H5" s="4" t="s">
        <v>4</v>
      </c>
      <c r="I5" s="4" t="s">
        <v>5</v>
      </c>
      <c r="J5" s="4" t="s">
        <v>4</v>
      </c>
    </row>
    <row r="6" spans="1:10" ht="22.25" customHeight="1" x14ac:dyDescent="0.35">
      <c r="A6" s="3">
        <v>29788404</v>
      </c>
      <c r="B6" s="3" t="s">
        <v>8</v>
      </c>
      <c r="C6" s="4">
        <v>2018</v>
      </c>
      <c r="D6" s="4" t="s">
        <v>5</v>
      </c>
      <c r="E6" s="4" t="s">
        <v>5</v>
      </c>
      <c r="F6" s="5" t="s">
        <v>5</v>
      </c>
      <c r="G6" s="4" t="s">
        <v>5</v>
      </c>
      <c r="H6" s="4" t="s">
        <v>5</v>
      </c>
      <c r="I6" s="4" t="s">
        <v>5</v>
      </c>
      <c r="J6" s="4" t="s">
        <v>5</v>
      </c>
    </row>
    <row r="7" spans="1:10" ht="15.5" x14ac:dyDescent="0.35">
      <c r="A7" s="3">
        <v>22908215</v>
      </c>
      <c r="B7" s="6" t="s">
        <v>76</v>
      </c>
      <c r="C7" s="4">
        <v>2012</v>
      </c>
      <c r="D7" s="5" t="s">
        <v>4</v>
      </c>
      <c r="E7" s="4" t="s">
        <v>4</v>
      </c>
      <c r="F7" s="5" t="s">
        <v>4</v>
      </c>
      <c r="G7" s="5" t="s">
        <v>4</v>
      </c>
      <c r="H7" s="5" t="s">
        <v>4</v>
      </c>
      <c r="I7" s="5" t="s">
        <v>4</v>
      </c>
      <c r="J7" s="5" t="s">
        <v>5</v>
      </c>
    </row>
    <row r="8" spans="1:10" ht="15.5" x14ac:dyDescent="0.35">
      <c r="A8" s="3">
        <v>38052452</v>
      </c>
      <c r="B8" s="4" t="s">
        <v>11</v>
      </c>
      <c r="C8" s="4">
        <v>2023</v>
      </c>
      <c r="D8" s="5" t="s">
        <v>4</v>
      </c>
      <c r="E8" s="4" t="s">
        <v>4</v>
      </c>
      <c r="F8" s="5" t="s">
        <v>4</v>
      </c>
      <c r="G8" s="5" t="s">
        <v>4</v>
      </c>
      <c r="H8" s="5" t="s">
        <v>4</v>
      </c>
      <c r="I8" s="5" t="s">
        <v>5</v>
      </c>
      <c r="J8" s="5" t="s">
        <v>4</v>
      </c>
    </row>
    <row r="9" spans="1:10" ht="15.5" x14ac:dyDescent="0.35">
      <c r="A9" s="3">
        <v>30967897</v>
      </c>
      <c r="B9" s="4" t="s">
        <v>9</v>
      </c>
      <c r="C9" s="4">
        <v>2019</v>
      </c>
      <c r="D9" s="5" t="s">
        <v>4</v>
      </c>
      <c r="E9" s="4" t="s">
        <v>4</v>
      </c>
      <c r="F9" s="5" t="s">
        <v>4</v>
      </c>
      <c r="G9" s="5" t="s">
        <v>4</v>
      </c>
      <c r="H9" s="5" t="s">
        <v>5</v>
      </c>
      <c r="I9" s="5" t="s">
        <v>5</v>
      </c>
      <c r="J9" s="5" t="s">
        <v>5</v>
      </c>
    </row>
    <row r="10" spans="1:10" ht="15.5" x14ac:dyDescent="0.35">
      <c r="A10" s="3">
        <v>38213704</v>
      </c>
      <c r="B10" s="4" t="s">
        <v>13</v>
      </c>
      <c r="C10" s="4">
        <v>2023</v>
      </c>
      <c r="D10" s="5" t="s">
        <v>4</v>
      </c>
      <c r="E10" s="4" t="s">
        <v>4</v>
      </c>
      <c r="F10" s="5" t="s">
        <v>4</v>
      </c>
      <c r="G10" s="5" t="s">
        <v>4</v>
      </c>
      <c r="H10" s="5" t="s">
        <v>4</v>
      </c>
      <c r="I10" s="5" t="s">
        <v>5</v>
      </c>
      <c r="J10" s="5" t="s">
        <v>4</v>
      </c>
    </row>
    <row r="11" spans="1:10" ht="15.5" x14ac:dyDescent="0.35">
      <c r="A11" s="3">
        <v>37460975</v>
      </c>
      <c r="B11" s="4" t="s">
        <v>19</v>
      </c>
      <c r="C11" s="4">
        <v>2023</v>
      </c>
      <c r="D11" s="5" t="s">
        <v>4</v>
      </c>
      <c r="E11" s="4" t="s">
        <v>4</v>
      </c>
      <c r="F11" s="5" t="s">
        <v>4</v>
      </c>
      <c r="G11" s="5" t="s">
        <v>4</v>
      </c>
      <c r="H11" s="5" t="s">
        <v>5</v>
      </c>
      <c r="I11" s="5" t="s">
        <v>128</v>
      </c>
      <c r="J11" s="5" t="s">
        <v>5</v>
      </c>
    </row>
    <row r="12" spans="1:10" ht="15.5" x14ac:dyDescent="0.35">
      <c r="A12" s="3">
        <v>37447786</v>
      </c>
      <c r="B12" s="4" t="s">
        <v>14</v>
      </c>
      <c r="C12" s="4">
        <v>2023</v>
      </c>
      <c r="D12" s="5" t="s">
        <v>4</v>
      </c>
      <c r="E12" s="4" t="s">
        <v>4</v>
      </c>
      <c r="F12" s="5" t="s">
        <v>4</v>
      </c>
      <c r="G12" s="5" t="s">
        <v>4</v>
      </c>
      <c r="H12" s="5" t="s">
        <v>4</v>
      </c>
      <c r="I12" s="5" t="s">
        <v>5</v>
      </c>
      <c r="J12" s="5" t="s">
        <v>4</v>
      </c>
    </row>
    <row r="13" spans="1:10" ht="15.5" x14ac:dyDescent="0.35">
      <c r="A13" s="3">
        <v>24408680</v>
      </c>
      <c r="B13" s="4" t="s">
        <v>12</v>
      </c>
      <c r="C13" s="4">
        <v>2014</v>
      </c>
      <c r="D13" s="5" t="s">
        <v>4</v>
      </c>
      <c r="E13" s="4" t="s">
        <v>4</v>
      </c>
      <c r="F13" s="5" t="s">
        <v>4</v>
      </c>
      <c r="G13" s="5" t="s">
        <v>4</v>
      </c>
      <c r="H13" s="5" t="s">
        <v>4</v>
      </c>
      <c r="I13" s="5" t="s">
        <v>4</v>
      </c>
      <c r="J13" s="5" t="s">
        <v>5</v>
      </c>
    </row>
    <row r="14" spans="1:10" ht="15.5" x14ac:dyDescent="0.35">
      <c r="A14" s="3">
        <v>39164470</v>
      </c>
      <c r="B14" s="4" t="s">
        <v>17</v>
      </c>
      <c r="C14" s="4">
        <v>2024</v>
      </c>
      <c r="D14" s="5" t="s">
        <v>4</v>
      </c>
      <c r="E14" s="4" t="s">
        <v>4</v>
      </c>
      <c r="F14" s="5" t="s">
        <v>4</v>
      </c>
      <c r="G14" s="5" t="s">
        <v>4</v>
      </c>
      <c r="H14" s="5" t="s">
        <v>5</v>
      </c>
      <c r="I14" s="5" t="s">
        <v>5</v>
      </c>
      <c r="J14" s="5" t="s">
        <v>5</v>
      </c>
    </row>
    <row r="15" spans="1:10" ht="15.5" x14ac:dyDescent="0.35">
      <c r="A15" s="3">
        <v>35660516</v>
      </c>
      <c r="B15" s="4" t="s">
        <v>18</v>
      </c>
      <c r="C15" s="4">
        <v>2022</v>
      </c>
      <c r="D15" s="5" t="s">
        <v>4</v>
      </c>
      <c r="E15" s="4" t="s">
        <v>4</v>
      </c>
      <c r="F15" s="5" t="s">
        <v>4</v>
      </c>
      <c r="G15" s="5" t="s">
        <v>4</v>
      </c>
      <c r="H15" s="5" t="s">
        <v>4</v>
      </c>
      <c r="I15" s="5" t="s">
        <v>5</v>
      </c>
      <c r="J15" s="5" t="s">
        <v>4</v>
      </c>
    </row>
    <row r="16" spans="1:10" ht="15.5" x14ac:dyDescent="0.35">
      <c r="A16" s="3">
        <v>36526993</v>
      </c>
      <c r="B16" s="4" t="s">
        <v>20</v>
      </c>
      <c r="C16" s="4">
        <v>2022</v>
      </c>
      <c r="D16" s="5" t="s">
        <v>4</v>
      </c>
      <c r="E16" s="4" t="s">
        <v>4</v>
      </c>
      <c r="F16" s="5" t="s">
        <v>4</v>
      </c>
      <c r="G16" s="5" t="s">
        <v>4</v>
      </c>
      <c r="H16" s="5" t="s">
        <v>5</v>
      </c>
      <c r="I16" s="5" t="s">
        <v>5</v>
      </c>
      <c r="J16" s="5" t="s">
        <v>5</v>
      </c>
    </row>
    <row r="17" spans="1:10" ht="15.5" x14ac:dyDescent="0.35">
      <c r="A17" s="3">
        <v>37848413</v>
      </c>
      <c r="B17" s="4" t="s">
        <v>21</v>
      </c>
      <c r="C17" s="4">
        <v>2023</v>
      </c>
      <c r="D17" s="5" t="s">
        <v>4</v>
      </c>
      <c r="E17" s="4" t="s">
        <v>4</v>
      </c>
      <c r="F17" s="5" t="s">
        <v>4</v>
      </c>
      <c r="G17" s="5" t="s">
        <v>4</v>
      </c>
      <c r="H17" s="5" t="s">
        <v>4</v>
      </c>
      <c r="I17" s="5" t="s">
        <v>4</v>
      </c>
      <c r="J17" s="5" t="s">
        <v>5</v>
      </c>
    </row>
    <row r="18" spans="1:10" ht="15.5" x14ac:dyDescent="0.35">
      <c r="A18" s="3">
        <v>35323860</v>
      </c>
      <c r="B18" s="4" t="s">
        <v>77</v>
      </c>
      <c r="C18" s="4">
        <v>2022</v>
      </c>
      <c r="D18" s="5" t="s">
        <v>4</v>
      </c>
      <c r="E18" s="4" t="s">
        <v>4</v>
      </c>
      <c r="F18" s="4" t="s">
        <v>4</v>
      </c>
      <c r="G18" s="5" t="s">
        <v>4</v>
      </c>
      <c r="H18" s="5" t="s">
        <v>5</v>
      </c>
      <c r="I18" s="5" t="s">
        <v>5</v>
      </c>
      <c r="J18" s="5" t="s">
        <v>5</v>
      </c>
    </row>
    <row r="19" spans="1:10" ht="15.5" x14ac:dyDescent="0.35">
      <c r="A19" s="3">
        <v>37682043</v>
      </c>
      <c r="B19" s="4" t="s">
        <v>78</v>
      </c>
      <c r="C19" s="4">
        <v>2023</v>
      </c>
      <c r="D19" s="4" t="s">
        <v>5</v>
      </c>
      <c r="E19" s="4" t="s">
        <v>5</v>
      </c>
      <c r="F19" s="4" t="s">
        <v>5</v>
      </c>
      <c r="G19" s="4" t="s">
        <v>5</v>
      </c>
      <c r="H19" s="5" t="s">
        <v>5</v>
      </c>
      <c r="I19" s="4" t="s">
        <v>5</v>
      </c>
      <c r="J19" s="4" t="s">
        <v>5</v>
      </c>
    </row>
    <row r="20" spans="1:10" ht="15.5" x14ac:dyDescent="0.35">
      <c r="A20" s="3">
        <v>27213017</v>
      </c>
      <c r="B20" s="4" t="s">
        <v>26</v>
      </c>
      <c r="C20" s="4">
        <v>2016</v>
      </c>
      <c r="D20" s="4" t="s">
        <v>4</v>
      </c>
      <c r="E20" s="4" t="s">
        <v>4</v>
      </c>
      <c r="F20" s="5" t="s">
        <v>4</v>
      </c>
      <c r="G20" s="5" t="s">
        <v>4</v>
      </c>
      <c r="H20" s="5" t="s">
        <v>4</v>
      </c>
      <c r="I20" s="5" t="s">
        <v>4</v>
      </c>
      <c r="J20" s="5" t="s">
        <v>5</v>
      </c>
    </row>
    <row r="21" spans="1:10" ht="15.5" x14ac:dyDescent="0.35">
      <c r="A21" s="3">
        <v>30786165</v>
      </c>
      <c r="B21" s="4" t="s">
        <v>22</v>
      </c>
      <c r="C21" s="4">
        <v>2019</v>
      </c>
      <c r="D21" s="4" t="s">
        <v>4</v>
      </c>
      <c r="E21" s="4" t="s">
        <v>4</v>
      </c>
      <c r="F21" s="4" t="s">
        <v>4</v>
      </c>
      <c r="G21" s="5" t="s">
        <v>4</v>
      </c>
      <c r="H21" s="5" t="s">
        <v>4</v>
      </c>
      <c r="I21" s="5" t="s">
        <v>5</v>
      </c>
      <c r="J21" s="5" t="s">
        <v>4</v>
      </c>
    </row>
    <row r="22" spans="1:10" ht="15.5" x14ac:dyDescent="0.35">
      <c r="A22" s="3">
        <v>24753485</v>
      </c>
      <c r="B22" s="4" t="s">
        <v>86</v>
      </c>
      <c r="C22" s="4">
        <v>2014</v>
      </c>
      <c r="D22" s="4" t="s">
        <v>4</v>
      </c>
      <c r="E22" s="4" t="s">
        <v>4</v>
      </c>
      <c r="F22" s="4" t="s">
        <v>4</v>
      </c>
      <c r="G22" s="5" t="s">
        <v>4</v>
      </c>
      <c r="H22" s="5" t="s">
        <v>5</v>
      </c>
      <c r="I22" s="5" t="s">
        <v>5</v>
      </c>
      <c r="J22" s="5" t="s">
        <v>5</v>
      </c>
    </row>
    <row r="23" spans="1:10" ht="15.5" x14ac:dyDescent="0.35">
      <c r="A23" s="3">
        <v>36302815</v>
      </c>
      <c r="B23" s="4" t="s">
        <v>25</v>
      </c>
      <c r="C23" s="4">
        <v>2022</v>
      </c>
      <c r="D23" s="4" t="s">
        <v>4</v>
      </c>
      <c r="E23" s="4" t="s">
        <v>4</v>
      </c>
      <c r="F23" s="4" t="s">
        <v>4</v>
      </c>
      <c r="G23" s="5" t="s">
        <v>4</v>
      </c>
      <c r="H23" s="5" t="s">
        <v>5</v>
      </c>
      <c r="I23" s="4" t="s">
        <v>5</v>
      </c>
      <c r="J23" s="4" t="s">
        <v>5</v>
      </c>
    </row>
    <row r="24" spans="1:10" ht="15.5" x14ac:dyDescent="0.35">
      <c r="A24" s="3">
        <v>35922700</v>
      </c>
      <c r="B24" s="4" t="s">
        <v>24</v>
      </c>
      <c r="C24" s="4">
        <v>2022</v>
      </c>
      <c r="D24" s="4" t="s">
        <v>4</v>
      </c>
      <c r="E24" s="4" t="s">
        <v>4</v>
      </c>
      <c r="F24" s="4" t="s">
        <v>4</v>
      </c>
      <c r="G24" s="5" t="s">
        <v>4</v>
      </c>
      <c r="H24" s="5" t="s">
        <v>4</v>
      </c>
      <c r="I24" s="5" t="s">
        <v>5</v>
      </c>
      <c r="J24" s="5" t="s">
        <v>4</v>
      </c>
    </row>
    <row r="25" spans="1:10" ht="15.5" x14ac:dyDescent="0.35">
      <c r="A25" s="3">
        <v>33097812</v>
      </c>
      <c r="B25" s="4" t="s">
        <v>16</v>
      </c>
      <c r="C25" s="4">
        <v>2021</v>
      </c>
      <c r="D25" s="4" t="s">
        <v>5</v>
      </c>
      <c r="E25" s="4" t="s">
        <v>5</v>
      </c>
      <c r="F25" s="4" t="s">
        <v>5</v>
      </c>
      <c r="G25" s="4" t="s">
        <v>5</v>
      </c>
      <c r="H25" s="5" t="s">
        <v>5</v>
      </c>
      <c r="I25" s="4" t="s">
        <v>5</v>
      </c>
      <c r="J25" s="4" t="s">
        <v>5</v>
      </c>
    </row>
    <row r="26" spans="1:10" ht="31" x14ac:dyDescent="0.35">
      <c r="A26" s="3">
        <v>33950394</v>
      </c>
      <c r="B26" s="1" t="s">
        <v>81</v>
      </c>
      <c r="C26" s="4">
        <v>2021</v>
      </c>
      <c r="D26" s="4" t="s">
        <v>4</v>
      </c>
      <c r="E26" s="4" t="s">
        <v>4</v>
      </c>
      <c r="F26" s="4" t="s">
        <v>4</v>
      </c>
      <c r="G26" s="5" t="s">
        <v>4</v>
      </c>
      <c r="H26" s="5" t="s">
        <v>4</v>
      </c>
      <c r="I26" s="4" t="s">
        <v>5</v>
      </c>
      <c r="J26" s="4" t="s">
        <v>4</v>
      </c>
    </row>
    <row r="27" spans="1:10" ht="31" x14ac:dyDescent="0.35">
      <c r="A27" s="3">
        <v>15983418</v>
      </c>
      <c r="B27" s="1" t="s">
        <v>84</v>
      </c>
      <c r="C27" s="4">
        <v>2005</v>
      </c>
      <c r="D27" s="4" t="s">
        <v>4</v>
      </c>
      <c r="E27" s="4" t="s">
        <v>4</v>
      </c>
      <c r="F27" s="4" t="s">
        <v>4</v>
      </c>
      <c r="G27" s="5" t="s">
        <v>4</v>
      </c>
      <c r="H27" s="5" t="s">
        <v>4</v>
      </c>
      <c r="I27" s="4" t="s">
        <v>4</v>
      </c>
      <c r="J27" s="4" t="s">
        <v>5</v>
      </c>
    </row>
    <row r="28" spans="1:10" ht="15.5" x14ac:dyDescent="0.35">
      <c r="A28" s="3">
        <v>37958281</v>
      </c>
      <c r="B28" s="4" t="s">
        <v>23</v>
      </c>
      <c r="C28" s="4">
        <v>2023</v>
      </c>
      <c r="D28" s="4" t="s">
        <v>4</v>
      </c>
      <c r="E28" s="4" t="s">
        <v>4</v>
      </c>
      <c r="F28" s="4" t="s">
        <v>4</v>
      </c>
      <c r="G28" s="5" t="s">
        <v>4</v>
      </c>
      <c r="H28" s="5" t="s">
        <v>5</v>
      </c>
      <c r="I28" s="4" t="s">
        <v>5</v>
      </c>
      <c r="J28" s="4" t="s">
        <v>5</v>
      </c>
    </row>
    <row r="29" spans="1:10" ht="15.5" x14ac:dyDescent="0.35">
      <c r="A29" s="3">
        <v>28269823</v>
      </c>
      <c r="B29" s="4" t="s">
        <v>15</v>
      </c>
      <c r="C29" s="4">
        <v>2017</v>
      </c>
      <c r="D29" s="4" t="s">
        <v>4</v>
      </c>
      <c r="E29" s="4" t="s">
        <v>4</v>
      </c>
      <c r="F29" s="4" t="s">
        <v>4</v>
      </c>
      <c r="G29" s="5" t="s">
        <v>4</v>
      </c>
      <c r="H29" s="5" t="s">
        <v>5</v>
      </c>
      <c r="I29" s="4" t="s">
        <v>5</v>
      </c>
      <c r="J29" s="4" t="s">
        <v>5</v>
      </c>
    </row>
    <row r="30" spans="1:10" ht="15.5" x14ac:dyDescent="0.35">
      <c r="A30" s="3">
        <v>38269759</v>
      </c>
      <c r="B30" s="4" t="s">
        <v>79</v>
      </c>
      <c r="C30" s="4">
        <v>2024</v>
      </c>
      <c r="D30" s="4" t="s">
        <v>5</v>
      </c>
      <c r="E30" s="4" t="s">
        <v>5</v>
      </c>
      <c r="F30" s="4" t="s">
        <v>5</v>
      </c>
      <c r="G30" s="4" t="s">
        <v>5</v>
      </c>
      <c r="H30" s="5" t="s">
        <v>5</v>
      </c>
      <c r="I30" s="4" t="s">
        <v>5</v>
      </c>
      <c r="J30" s="4" t="s">
        <v>5</v>
      </c>
    </row>
    <row r="31" spans="1:10" ht="25.75" customHeight="1" x14ac:dyDescent="0.35">
      <c r="A31" s="3">
        <v>38510163</v>
      </c>
      <c r="B31" s="4" t="s">
        <v>28</v>
      </c>
      <c r="C31" s="4">
        <v>2023</v>
      </c>
      <c r="D31" s="4" t="s">
        <v>4</v>
      </c>
      <c r="E31" s="4" t="s">
        <v>4</v>
      </c>
      <c r="F31" s="4" t="s">
        <v>4</v>
      </c>
      <c r="G31" s="5" t="s">
        <v>4</v>
      </c>
      <c r="H31" s="5" t="s">
        <v>4</v>
      </c>
      <c r="I31" s="4" t="s">
        <v>4</v>
      </c>
      <c r="J31" s="4" t="s">
        <v>5</v>
      </c>
    </row>
    <row r="32" spans="1:10" ht="32.4" customHeight="1" x14ac:dyDescent="0.35">
      <c r="A32" s="3">
        <v>39234710</v>
      </c>
      <c r="B32" s="1" t="s">
        <v>80</v>
      </c>
      <c r="C32" s="4">
        <v>2024</v>
      </c>
      <c r="D32" s="4" t="s">
        <v>5</v>
      </c>
      <c r="E32" s="4" t="s">
        <v>5</v>
      </c>
      <c r="F32" s="4" t="s">
        <v>5</v>
      </c>
      <c r="G32" s="4" t="s">
        <v>5</v>
      </c>
      <c r="H32" s="5" t="s">
        <v>5</v>
      </c>
      <c r="I32" s="4" t="s">
        <v>5</v>
      </c>
      <c r="J32" s="4" t="s">
        <v>5</v>
      </c>
    </row>
    <row r="33" spans="1:10" ht="15.5" x14ac:dyDescent="0.35">
      <c r="A33" s="3">
        <v>31131402</v>
      </c>
      <c r="B33" s="4" t="s">
        <v>32</v>
      </c>
      <c r="C33" s="4">
        <v>2019</v>
      </c>
      <c r="D33" s="4" t="s">
        <v>4</v>
      </c>
      <c r="E33" s="4" t="s">
        <v>4</v>
      </c>
      <c r="F33" s="4" t="s">
        <v>4</v>
      </c>
      <c r="G33" s="5" t="s">
        <v>4</v>
      </c>
      <c r="H33" s="5" t="s">
        <v>4</v>
      </c>
      <c r="I33" s="4" t="s">
        <v>5</v>
      </c>
      <c r="J33" s="4" t="s">
        <v>4</v>
      </c>
    </row>
    <row r="34" spans="1:10" ht="15.5" x14ac:dyDescent="0.35">
      <c r="A34" s="3">
        <v>36069613</v>
      </c>
      <c r="B34" s="4" t="s">
        <v>31</v>
      </c>
      <c r="C34" s="4">
        <v>2022</v>
      </c>
      <c r="D34" s="4" t="s">
        <v>4</v>
      </c>
      <c r="E34" s="4" t="s">
        <v>4</v>
      </c>
      <c r="F34" s="4" t="s">
        <v>4</v>
      </c>
      <c r="G34" s="5" t="s">
        <v>4</v>
      </c>
      <c r="H34" s="5" t="s">
        <v>5</v>
      </c>
      <c r="I34" s="4" t="s">
        <v>5</v>
      </c>
      <c r="J34" s="4" t="s">
        <v>5</v>
      </c>
    </row>
    <row r="35" spans="1:10" ht="15.5" x14ac:dyDescent="0.35">
      <c r="A35" s="3">
        <v>34239974</v>
      </c>
      <c r="B35" s="4" t="s">
        <v>30</v>
      </c>
      <c r="C35" s="4">
        <v>2021</v>
      </c>
      <c r="D35" s="4" t="s">
        <v>4</v>
      </c>
      <c r="E35" s="4" t="s">
        <v>4</v>
      </c>
      <c r="F35" s="4" t="s">
        <v>4</v>
      </c>
      <c r="G35" s="5" t="s">
        <v>4</v>
      </c>
      <c r="H35" s="5" t="s">
        <v>5</v>
      </c>
      <c r="I35" s="4" t="s">
        <v>5</v>
      </c>
      <c r="J35" s="4" t="s">
        <v>5</v>
      </c>
    </row>
    <row r="36" spans="1:10" ht="15.5" x14ac:dyDescent="0.35">
      <c r="A36" s="3">
        <v>33925069</v>
      </c>
      <c r="B36" s="4" t="s">
        <v>37</v>
      </c>
      <c r="C36" s="4">
        <v>2021</v>
      </c>
      <c r="D36" s="4" t="s">
        <v>4</v>
      </c>
      <c r="E36" s="4" t="s">
        <v>4</v>
      </c>
      <c r="F36" s="4" t="s">
        <v>4</v>
      </c>
      <c r="G36" s="5" t="s">
        <v>4</v>
      </c>
      <c r="H36" s="5" t="s">
        <v>5</v>
      </c>
      <c r="I36" s="4" t="s">
        <v>5</v>
      </c>
      <c r="J36" s="4" t="s">
        <v>5</v>
      </c>
    </row>
    <row r="37" spans="1:10" ht="15.5" x14ac:dyDescent="0.35">
      <c r="A37" s="3">
        <v>30811390</v>
      </c>
      <c r="B37" s="4" t="s">
        <v>34</v>
      </c>
      <c r="C37" s="4">
        <v>2019</v>
      </c>
      <c r="D37" s="4" t="s">
        <v>4</v>
      </c>
      <c r="E37" s="4" t="s">
        <v>4</v>
      </c>
      <c r="F37" s="4" t="s">
        <v>4</v>
      </c>
      <c r="G37" s="5" t="s">
        <v>4</v>
      </c>
      <c r="H37" s="5" t="s">
        <v>4</v>
      </c>
      <c r="I37" s="4" t="s">
        <v>4</v>
      </c>
      <c r="J37" s="4" t="s">
        <v>5</v>
      </c>
    </row>
    <row r="38" spans="1:10" ht="15.5" x14ac:dyDescent="0.35">
      <c r="A38" s="3">
        <v>39527191</v>
      </c>
      <c r="B38" s="4" t="s">
        <v>88</v>
      </c>
      <c r="C38" s="4">
        <v>2025</v>
      </c>
      <c r="D38" s="4" t="s">
        <v>5</v>
      </c>
      <c r="E38" s="4" t="s">
        <v>5</v>
      </c>
      <c r="F38" s="4" t="s">
        <v>5</v>
      </c>
      <c r="G38" s="4" t="s">
        <v>5</v>
      </c>
      <c r="H38" s="5" t="s">
        <v>5</v>
      </c>
      <c r="I38" s="4" t="s">
        <v>5</v>
      </c>
      <c r="J38" s="4" t="s">
        <v>5</v>
      </c>
    </row>
    <row r="39" spans="1:10" ht="46.5" x14ac:dyDescent="0.35">
      <c r="A39" s="3">
        <v>37491551</v>
      </c>
      <c r="B39" s="1" t="s">
        <v>85</v>
      </c>
      <c r="C39" s="4">
        <v>2023</v>
      </c>
      <c r="D39" s="4" t="s">
        <v>5</v>
      </c>
      <c r="E39" s="4" t="s">
        <v>5</v>
      </c>
      <c r="F39" s="4" t="s">
        <v>5</v>
      </c>
      <c r="G39" s="4" t="s">
        <v>5</v>
      </c>
      <c r="H39" s="5" t="s">
        <v>5</v>
      </c>
      <c r="I39" s="4" t="s">
        <v>5</v>
      </c>
      <c r="J39" s="4" t="s">
        <v>5</v>
      </c>
    </row>
    <row r="40" spans="1:10" ht="15.5" x14ac:dyDescent="0.35">
      <c r="A40" s="3">
        <v>40733891</v>
      </c>
      <c r="B40" s="4" t="s">
        <v>42</v>
      </c>
      <c r="C40" s="4">
        <v>2025</v>
      </c>
      <c r="D40" s="4" t="s">
        <v>4</v>
      </c>
      <c r="E40" s="4" t="s">
        <v>4</v>
      </c>
      <c r="F40" s="4" t="s">
        <v>4</v>
      </c>
      <c r="G40" s="5" t="s">
        <v>4</v>
      </c>
      <c r="H40" s="5" t="s">
        <v>5</v>
      </c>
      <c r="I40" s="4" t="s">
        <v>5</v>
      </c>
      <c r="J40" s="4" t="s">
        <v>5</v>
      </c>
    </row>
    <row r="41" spans="1:10" ht="31" x14ac:dyDescent="0.35">
      <c r="A41" s="3">
        <v>35612015</v>
      </c>
      <c r="B41" s="1" t="s">
        <v>82</v>
      </c>
      <c r="C41" s="4">
        <v>2022</v>
      </c>
      <c r="D41" s="4" t="s">
        <v>5</v>
      </c>
      <c r="E41" s="4" t="s">
        <v>5</v>
      </c>
      <c r="F41" s="4" t="s">
        <v>5</v>
      </c>
      <c r="G41" s="4" t="s">
        <v>5</v>
      </c>
      <c r="H41" s="5" t="s">
        <v>5</v>
      </c>
      <c r="I41" s="4" t="s">
        <v>5</v>
      </c>
      <c r="J41" s="4" t="s">
        <v>5</v>
      </c>
    </row>
    <row r="42" spans="1:10" ht="15.5" x14ac:dyDescent="0.35">
      <c r="A42" s="3">
        <v>17430564</v>
      </c>
      <c r="B42" s="4" t="s">
        <v>38</v>
      </c>
      <c r="C42" s="4">
        <v>2007</v>
      </c>
      <c r="D42" s="4" t="s">
        <v>4</v>
      </c>
      <c r="E42" s="4" t="s">
        <v>4</v>
      </c>
      <c r="F42" s="4" t="s">
        <v>4</v>
      </c>
      <c r="G42" s="5" t="s">
        <v>4</v>
      </c>
      <c r="H42" s="5" t="s">
        <v>4</v>
      </c>
      <c r="I42" s="4" t="s">
        <v>4</v>
      </c>
      <c r="J42" s="4" t="s">
        <v>5</v>
      </c>
    </row>
    <row r="43" spans="1:10" ht="15.5" x14ac:dyDescent="0.35">
      <c r="A43" s="3">
        <v>37600061</v>
      </c>
      <c r="B43" s="4" t="s">
        <v>36</v>
      </c>
      <c r="C43" s="4">
        <v>2023</v>
      </c>
      <c r="D43" s="4" t="s">
        <v>4</v>
      </c>
      <c r="E43" s="4" t="s">
        <v>4</v>
      </c>
      <c r="F43" s="4" t="s">
        <v>4</v>
      </c>
      <c r="G43" s="5" t="s">
        <v>4</v>
      </c>
      <c r="H43" s="5" t="s">
        <v>5</v>
      </c>
      <c r="I43" s="4" t="s">
        <v>5</v>
      </c>
      <c r="J43" s="4" t="s">
        <v>5</v>
      </c>
    </row>
    <row r="44" spans="1:10" ht="15.5" x14ac:dyDescent="0.35">
      <c r="A44" s="3">
        <v>40950129</v>
      </c>
      <c r="B44" s="4" t="s">
        <v>44</v>
      </c>
      <c r="C44" s="4">
        <v>2025</v>
      </c>
      <c r="D44" s="4" t="s">
        <v>4</v>
      </c>
      <c r="E44" s="4" t="s">
        <v>4</v>
      </c>
      <c r="F44" s="4" t="s">
        <v>4</v>
      </c>
      <c r="G44" s="5" t="s">
        <v>4</v>
      </c>
      <c r="H44" s="5" t="s">
        <v>4</v>
      </c>
      <c r="I44" s="4" t="s">
        <v>5</v>
      </c>
      <c r="J44" s="4" t="s">
        <v>4</v>
      </c>
    </row>
    <row r="45" spans="1:10" ht="15.5" x14ac:dyDescent="0.35">
      <c r="A45" s="3">
        <v>37730936</v>
      </c>
      <c r="B45" s="4" t="s">
        <v>41</v>
      </c>
      <c r="C45" s="4">
        <v>2023</v>
      </c>
      <c r="D45" s="4" t="s">
        <v>4</v>
      </c>
      <c r="E45" s="4" t="s">
        <v>4</v>
      </c>
      <c r="F45" s="4" t="s">
        <v>4</v>
      </c>
      <c r="G45" s="5" t="s">
        <v>4</v>
      </c>
      <c r="H45" s="5" t="s">
        <v>4</v>
      </c>
      <c r="I45" s="4" t="s">
        <v>4</v>
      </c>
      <c r="J45" s="4" t="s">
        <v>5</v>
      </c>
    </row>
    <row r="46" spans="1:10" ht="15.5" x14ac:dyDescent="0.35">
      <c r="A46" s="3">
        <v>34013039</v>
      </c>
      <c r="B46" s="4" t="s">
        <v>29</v>
      </c>
      <c r="C46" s="4">
        <v>2021</v>
      </c>
      <c r="D46" s="4" t="s">
        <v>4</v>
      </c>
      <c r="E46" s="4" t="s">
        <v>4</v>
      </c>
      <c r="F46" s="4" t="s">
        <v>4</v>
      </c>
      <c r="G46" s="5" t="s">
        <v>4</v>
      </c>
      <c r="H46" s="5" t="s">
        <v>4</v>
      </c>
      <c r="I46" s="4" t="s">
        <v>5</v>
      </c>
      <c r="J46" s="4" t="s">
        <v>4</v>
      </c>
    </row>
    <row r="47" spans="1:10" ht="15.5" x14ac:dyDescent="0.35">
      <c r="A47" s="3">
        <v>37742575</v>
      </c>
      <c r="B47" s="4" t="s">
        <v>43</v>
      </c>
      <c r="C47" s="4">
        <v>2023</v>
      </c>
      <c r="D47" s="4" t="s">
        <v>4</v>
      </c>
      <c r="E47" s="4" t="s">
        <v>4</v>
      </c>
      <c r="F47" s="4" t="s">
        <v>4</v>
      </c>
      <c r="G47" s="5" t="s">
        <v>4</v>
      </c>
      <c r="H47" s="5" t="s">
        <v>5</v>
      </c>
      <c r="I47" s="4" t="s">
        <v>5</v>
      </c>
      <c r="J47" s="4" t="s">
        <v>5</v>
      </c>
    </row>
    <row r="48" spans="1:10" ht="15.5" x14ac:dyDescent="0.35">
      <c r="A48" s="3">
        <v>21477364</v>
      </c>
      <c r="B48" s="4" t="s">
        <v>35</v>
      </c>
      <c r="C48" s="4">
        <v>2011</v>
      </c>
      <c r="D48" s="4" t="s">
        <v>4</v>
      </c>
      <c r="E48" s="4" t="s">
        <v>4</v>
      </c>
      <c r="F48" s="4" t="s">
        <v>4</v>
      </c>
      <c r="G48" s="5" t="s">
        <v>4</v>
      </c>
      <c r="H48" s="5" t="s">
        <v>4</v>
      </c>
      <c r="I48" s="4" t="s">
        <v>4</v>
      </c>
      <c r="J48" s="4" t="s">
        <v>5</v>
      </c>
    </row>
    <row r="49" spans="1:10" ht="15.5" x14ac:dyDescent="0.35">
      <c r="A49" s="3">
        <v>25471934</v>
      </c>
      <c r="B49" s="4" t="s">
        <v>40</v>
      </c>
      <c r="C49" s="4">
        <v>2014</v>
      </c>
      <c r="D49" s="4" t="s">
        <v>4</v>
      </c>
      <c r="E49" s="4" t="s">
        <v>4</v>
      </c>
      <c r="F49" s="4" t="s">
        <v>4</v>
      </c>
      <c r="G49" s="5" t="s">
        <v>4</v>
      </c>
      <c r="H49" s="5" t="s">
        <v>4</v>
      </c>
      <c r="I49" s="4" t="s">
        <v>5</v>
      </c>
      <c r="J49" s="4" t="s">
        <v>4</v>
      </c>
    </row>
    <row r="50" spans="1:10" ht="15.5" x14ac:dyDescent="0.35">
      <c r="A50" s="3">
        <v>28765728</v>
      </c>
      <c r="B50" s="4" t="s">
        <v>39</v>
      </c>
      <c r="C50" s="4">
        <v>2017</v>
      </c>
      <c r="D50" s="4" t="s">
        <v>4</v>
      </c>
      <c r="E50" s="4" t="s">
        <v>4</v>
      </c>
      <c r="F50" s="4" t="s">
        <v>4</v>
      </c>
      <c r="G50" s="5" t="s">
        <v>4</v>
      </c>
      <c r="H50" s="5" t="s">
        <v>5</v>
      </c>
      <c r="I50" s="4" t="s">
        <v>5</v>
      </c>
      <c r="J50" s="4" t="s">
        <v>5</v>
      </c>
    </row>
    <row r="51" spans="1:10" ht="15.5" x14ac:dyDescent="0.35">
      <c r="A51" s="3">
        <v>34874852</v>
      </c>
      <c r="B51" s="4" t="s">
        <v>87</v>
      </c>
      <c r="C51" s="4">
        <v>2022</v>
      </c>
      <c r="D51" s="4" t="s">
        <v>5</v>
      </c>
      <c r="E51" s="4" t="s">
        <v>5</v>
      </c>
      <c r="F51" s="4" t="s">
        <v>5</v>
      </c>
      <c r="G51" s="5" t="s">
        <v>5</v>
      </c>
      <c r="H51" s="5" t="s">
        <v>5</v>
      </c>
      <c r="I51" s="5" t="s">
        <v>5</v>
      </c>
      <c r="J51" s="5" t="s">
        <v>5</v>
      </c>
    </row>
    <row r="52" spans="1:10" ht="15.5" x14ac:dyDescent="0.35">
      <c r="A52" s="3">
        <v>37203670</v>
      </c>
      <c r="B52" s="4" t="s">
        <v>89</v>
      </c>
      <c r="C52" s="4">
        <v>2023</v>
      </c>
      <c r="D52" s="4" t="s">
        <v>5</v>
      </c>
      <c r="E52" s="4" t="s">
        <v>5</v>
      </c>
      <c r="F52" s="4" t="s">
        <v>5</v>
      </c>
      <c r="G52" s="4" t="s">
        <v>5</v>
      </c>
      <c r="H52" s="5" t="s">
        <v>5</v>
      </c>
      <c r="I52" s="4" t="s">
        <v>5</v>
      </c>
      <c r="J52" s="4" t="s">
        <v>5</v>
      </c>
    </row>
    <row r="53" spans="1:10" ht="31" x14ac:dyDescent="0.35">
      <c r="A53" s="3">
        <v>36239915</v>
      </c>
      <c r="B53" s="1" t="s">
        <v>83</v>
      </c>
      <c r="C53" s="4">
        <v>2023</v>
      </c>
      <c r="D53" s="4" t="s">
        <v>4</v>
      </c>
      <c r="E53" s="4" t="s">
        <v>4</v>
      </c>
      <c r="F53" s="4" t="s">
        <v>4</v>
      </c>
      <c r="G53" s="5" t="s">
        <v>4</v>
      </c>
      <c r="H53" s="5" t="s">
        <v>5</v>
      </c>
      <c r="I53" s="4" t="s">
        <v>5</v>
      </c>
      <c r="J53" s="4" t="s">
        <v>5</v>
      </c>
    </row>
    <row r="54" spans="1:10" ht="15.5" x14ac:dyDescent="0.35">
      <c r="A54" s="3">
        <v>31128778</v>
      </c>
      <c r="B54" s="4" t="s">
        <v>33</v>
      </c>
      <c r="C54" s="4">
        <v>2019</v>
      </c>
      <c r="D54" s="4" t="s">
        <v>4</v>
      </c>
      <c r="E54" s="4" t="s">
        <v>4</v>
      </c>
      <c r="F54" s="4" t="s">
        <v>4</v>
      </c>
      <c r="G54" s="5" t="s">
        <v>4</v>
      </c>
      <c r="H54" s="5" t="s">
        <v>5</v>
      </c>
      <c r="I54" s="4" t="s">
        <v>5</v>
      </c>
      <c r="J54" s="4" t="s">
        <v>5</v>
      </c>
    </row>
    <row r="55" spans="1:10" ht="15.5" x14ac:dyDescent="0.35">
      <c r="A55" s="3">
        <v>32294771</v>
      </c>
      <c r="B55" s="4" t="s">
        <v>45</v>
      </c>
      <c r="C55" s="4">
        <v>2020</v>
      </c>
      <c r="D55" s="4" t="s">
        <v>4</v>
      </c>
      <c r="E55" s="4" t="s">
        <v>4</v>
      </c>
      <c r="F55" s="4" t="s">
        <v>4</v>
      </c>
      <c r="G55" s="5" t="s">
        <v>4</v>
      </c>
      <c r="H55" s="5" t="s">
        <v>4</v>
      </c>
      <c r="I55" s="4" t="s">
        <v>5</v>
      </c>
      <c r="J55" s="4" t="s">
        <v>4</v>
      </c>
    </row>
    <row r="56" spans="1:10" ht="31" x14ac:dyDescent="0.35">
      <c r="A56" s="3">
        <v>23473722</v>
      </c>
      <c r="B56" s="7" t="s">
        <v>90</v>
      </c>
      <c r="C56" s="4">
        <v>2013</v>
      </c>
      <c r="D56" s="4" t="s">
        <v>4</v>
      </c>
      <c r="E56" s="4" t="s">
        <v>4</v>
      </c>
      <c r="F56" s="4" t="s">
        <v>4</v>
      </c>
      <c r="G56" s="5" t="s">
        <v>4</v>
      </c>
      <c r="H56" s="5" t="s">
        <v>4</v>
      </c>
      <c r="I56" s="4" t="s">
        <v>5</v>
      </c>
      <c r="J56" s="4" t="s">
        <v>4</v>
      </c>
    </row>
    <row r="57" spans="1:10" ht="46.5" x14ac:dyDescent="0.35">
      <c r="A57" s="3">
        <v>37601534</v>
      </c>
      <c r="B57" s="8" t="s">
        <v>91</v>
      </c>
      <c r="C57" s="4">
        <v>2023</v>
      </c>
      <c r="D57" s="4" t="s">
        <v>4</v>
      </c>
      <c r="E57" s="4" t="s">
        <v>4</v>
      </c>
      <c r="F57" s="4" t="s">
        <v>4</v>
      </c>
      <c r="G57" s="5" t="s">
        <v>4</v>
      </c>
      <c r="H57" s="5" t="s">
        <v>5</v>
      </c>
      <c r="I57" s="4" t="s">
        <v>5</v>
      </c>
      <c r="J57" s="4" t="s">
        <v>5</v>
      </c>
    </row>
    <row r="58" spans="1:10" ht="15.5" x14ac:dyDescent="0.35">
      <c r="A58" s="3">
        <v>24651862</v>
      </c>
      <c r="B58" s="9" t="s">
        <v>92</v>
      </c>
      <c r="C58" s="4">
        <v>2014</v>
      </c>
      <c r="D58" s="4" t="s">
        <v>4</v>
      </c>
      <c r="E58" s="4" t="s">
        <v>4</v>
      </c>
      <c r="F58" s="4" t="s">
        <v>4</v>
      </c>
      <c r="G58" s="5" t="s">
        <v>4</v>
      </c>
      <c r="H58" s="5" t="s">
        <v>4</v>
      </c>
      <c r="I58" s="4" t="s">
        <v>5</v>
      </c>
      <c r="J58" s="4" t="s">
        <v>4</v>
      </c>
    </row>
    <row r="59" spans="1:10" ht="46.5" x14ac:dyDescent="0.35">
      <c r="A59" s="3">
        <v>35632247</v>
      </c>
      <c r="B59" s="10" t="s">
        <v>93</v>
      </c>
      <c r="C59" s="4">
        <v>2022</v>
      </c>
      <c r="D59" s="4" t="s">
        <v>4</v>
      </c>
      <c r="E59" s="4" t="s">
        <v>4</v>
      </c>
      <c r="F59" s="4" t="s">
        <v>4</v>
      </c>
      <c r="G59" s="5" t="s">
        <v>4</v>
      </c>
      <c r="H59" s="5" t="s">
        <v>5</v>
      </c>
      <c r="I59" s="4" t="s">
        <v>5</v>
      </c>
      <c r="J59" s="4" t="s">
        <v>5</v>
      </c>
    </row>
    <row r="60" spans="1:10" ht="46.5" x14ac:dyDescent="0.35">
      <c r="A60" s="3">
        <v>30252445</v>
      </c>
      <c r="B60" s="3" t="s">
        <v>94</v>
      </c>
      <c r="C60" s="4">
        <v>2018</v>
      </c>
      <c r="D60" s="4" t="s">
        <v>4</v>
      </c>
      <c r="E60" s="4" t="s">
        <v>4</v>
      </c>
      <c r="F60" s="4" t="s">
        <v>4</v>
      </c>
      <c r="G60" s="5" t="s">
        <v>4</v>
      </c>
      <c r="H60" s="5" t="s">
        <v>4</v>
      </c>
      <c r="I60" s="4" t="s">
        <v>5</v>
      </c>
      <c r="J60" s="4" t="s">
        <v>4</v>
      </c>
    </row>
    <row r="61" spans="1:10" ht="15.5" x14ac:dyDescent="0.35">
      <c r="A61" s="3">
        <v>30821701</v>
      </c>
      <c r="B61" s="4" t="s">
        <v>27</v>
      </c>
      <c r="C61" s="4">
        <v>2019</v>
      </c>
      <c r="D61" s="4" t="s">
        <v>4</v>
      </c>
      <c r="E61" s="4" t="s">
        <v>4</v>
      </c>
      <c r="F61" s="4" t="s">
        <v>4</v>
      </c>
      <c r="G61" s="5" t="s">
        <v>4</v>
      </c>
      <c r="H61" s="5" t="s">
        <v>5</v>
      </c>
      <c r="I61" s="4" t="s">
        <v>5</v>
      </c>
      <c r="J61" s="4" t="s">
        <v>5</v>
      </c>
    </row>
    <row r="62" spans="1:10" ht="15.5" x14ac:dyDescent="0.35">
      <c r="A62" s="3">
        <v>35631765</v>
      </c>
      <c r="B62" s="4" t="s">
        <v>46</v>
      </c>
      <c r="C62" s="4">
        <v>2022</v>
      </c>
      <c r="D62" s="4" t="s">
        <v>4</v>
      </c>
      <c r="E62" s="4" t="s">
        <v>4</v>
      </c>
      <c r="F62" s="4" t="s">
        <v>4</v>
      </c>
      <c r="G62" s="5" t="s">
        <v>4</v>
      </c>
      <c r="H62" s="5" t="s">
        <v>5</v>
      </c>
      <c r="I62" s="4" t="s">
        <v>5</v>
      </c>
      <c r="J62" s="4" t="s">
        <v>5</v>
      </c>
    </row>
    <row r="63" spans="1:10" ht="15.5" x14ac:dyDescent="0.35">
      <c r="A63" s="3">
        <v>38271174</v>
      </c>
      <c r="B63" s="4" t="s">
        <v>95</v>
      </c>
      <c r="C63" s="4">
        <v>2024</v>
      </c>
      <c r="D63" s="4" t="s">
        <v>5</v>
      </c>
      <c r="E63" s="4" t="s">
        <v>5</v>
      </c>
      <c r="F63" s="4" t="s">
        <v>5</v>
      </c>
      <c r="G63" s="4" t="s">
        <v>5</v>
      </c>
      <c r="H63" s="5" t="s">
        <v>5</v>
      </c>
      <c r="I63" s="4" t="s">
        <v>5</v>
      </c>
      <c r="J63" s="4" t="s">
        <v>5</v>
      </c>
    </row>
    <row r="64" spans="1:10" ht="15.5" x14ac:dyDescent="0.35">
      <c r="A64" s="3">
        <v>27896971</v>
      </c>
      <c r="B64" s="4" t="s">
        <v>47</v>
      </c>
      <c r="C64" s="4">
        <v>2017</v>
      </c>
      <c r="D64" s="4" t="s">
        <v>4</v>
      </c>
      <c r="E64" s="4" t="s">
        <v>4</v>
      </c>
      <c r="F64" s="4" t="s">
        <v>4</v>
      </c>
      <c r="G64" s="5" t="s">
        <v>4</v>
      </c>
      <c r="H64" s="5" t="s">
        <v>4</v>
      </c>
      <c r="I64" s="4" t="s">
        <v>4</v>
      </c>
      <c r="J64" s="4" t="s">
        <v>5</v>
      </c>
    </row>
    <row r="65" spans="1:10" ht="46.5" x14ac:dyDescent="0.35">
      <c r="A65" s="3">
        <v>34042891</v>
      </c>
      <c r="B65" s="3" t="s">
        <v>96</v>
      </c>
      <c r="C65" s="4">
        <v>2021</v>
      </c>
      <c r="D65" s="4" t="s">
        <v>5</v>
      </c>
      <c r="E65" s="4" t="s">
        <v>5</v>
      </c>
      <c r="F65" s="4" t="s">
        <v>5</v>
      </c>
      <c r="G65" s="4" t="s">
        <v>5</v>
      </c>
      <c r="H65" s="5" t="s">
        <v>5</v>
      </c>
      <c r="I65" s="4" t="s">
        <v>5</v>
      </c>
      <c r="J65" s="4" t="s">
        <v>5</v>
      </c>
    </row>
    <row r="66" spans="1:10" ht="15.5" x14ac:dyDescent="0.35">
      <c r="A66" s="3">
        <v>41163839</v>
      </c>
      <c r="B66" s="4" t="s">
        <v>55</v>
      </c>
      <c r="C66" s="4">
        <v>2025</v>
      </c>
      <c r="D66" s="4" t="s">
        <v>4</v>
      </c>
      <c r="E66" s="4" t="s">
        <v>4</v>
      </c>
      <c r="F66" s="4" t="s">
        <v>4</v>
      </c>
      <c r="G66" s="5" t="s">
        <v>4</v>
      </c>
      <c r="H66" s="5" t="s">
        <v>5</v>
      </c>
      <c r="I66" s="4" t="s">
        <v>5</v>
      </c>
      <c r="J66" s="4" t="s">
        <v>5</v>
      </c>
    </row>
    <row r="67" spans="1:10" ht="46.5" x14ac:dyDescent="0.35">
      <c r="A67" s="3">
        <v>25604327</v>
      </c>
      <c r="B67" s="3" t="s">
        <v>97</v>
      </c>
      <c r="C67" s="4">
        <v>2015</v>
      </c>
      <c r="D67" s="4" t="s">
        <v>4</v>
      </c>
      <c r="E67" s="4" t="s">
        <v>4</v>
      </c>
      <c r="F67" s="4" t="s">
        <v>4</v>
      </c>
      <c r="G67" s="5" t="s">
        <v>4</v>
      </c>
      <c r="H67" s="5" t="s">
        <v>4</v>
      </c>
      <c r="I67" s="4" t="s">
        <v>5</v>
      </c>
      <c r="J67" s="4" t="s">
        <v>4</v>
      </c>
    </row>
    <row r="68" spans="1:10" ht="15.5" x14ac:dyDescent="0.35">
      <c r="A68" s="3">
        <v>40631125</v>
      </c>
      <c r="B68" s="4" t="s">
        <v>54</v>
      </c>
      <c r="C68" s="4">
        <v>2025</v>
      </c>
      <c r="D68" s="4" t="s">
        <v>4</v>
      </c>
      <c r="E68" s="4" t="s">
        <v>4</v>
      </c>
      <c r="F68" s="4" t="s">
        <v>4</v>
      </c>
      <c r="G68" s="5" t="s">
        <v>4</v>
      </c>
      <c r="H68" s="5" t="s">
        <v>4</v>
      </c>
      <c r="I68" s="4" t="s">
        <v>5</v>
      </c>
      <c r="J68" s="4" t="s">
        <v>4</v>
      </c>
    </row>
    <row r="69" spans="1:10" ht="15.5" x14ac:dyDescent="0.35">
      <c r="A69" s="3">
        <v>15480479</v>
      </c>
      <c r="B69" s="3" t="s">
        <v>98</v>
      </c>
      <c r="C69" s="4">
        <v>2004</v>
      </c>
      <c r="D69" s="4" t="s">
        <v>4</v>
      </c>
      <c r="E69" s="4" t="s">
        <v>4</v>
      </c>
      <c r="F69" s="4" t="s">
        <v>4</v>
      </c>
      <c r="G69" s="5" t="s">
        <v>4</v>
      </c>
      <c r="H69" s="5" t="s">
        <v>5</v>
      </c>
      <c r="I69" s="4" t="s">
        <v>5</v>
      </c>
      <c r="J69" s="4" t="s">
        <v>5</v>
      </c>
    </row>
    <row r="70" spans="1:10" ht="15.5" x14ac:dyDescent="0.35">
      <c r="A70" s="3">
        <v>37762547</v>
      </c>
      <c r="B70" s="4" t="s">
        <v>53</v>
      </c>
      <c r="C70" s="4">
        <v>2023</v>
      </c>
      <c r="D70" s="4" t="s">
        <v>4</v>
      </c>
      <c r="E70" s="4" t="s">
        <v>4</v>
      </c>
      <c r="F70" s="4" t="s">
        <v>4</v>
      </c>
      <c r="G70" s="5" t="s">
        <v>4</v>
      </c>
      <c r="H70" s="5" t="s">
        <v>4</v>
      </c>
      <c r="I70" s="4" t="s">
        <v>5</v>
      </c>
      <c r="J70" s="4" t="s">
        <v>4</v>
      </c>
    </row>
    <row r="71" spans="1:10" ht="31" x14ac:dyDescent="0.35">
      <c r="A71" s="3">
        <v>20615815</v>
      </c>
      <c r="B71" s="3" t="s">
        <v>99</v>
      </c>
      <c r="C71" s="4">
        <v>2010</v>
      </c>
      <c r="D71" s="4" t="s">
        <v>4</v>
      </c>
      <c r="E71" s="4" t="s">
        <v>4</v>
      </c>
      <c r="F71" s="4" t="s">
        <v>4</v>
      </c>
      <c r="G71" s="5" t="s">
        <v>4</v>
      </c>
      <c r="H71" s="5" t="s">
        <v>5</v>
      </c>
      <c r="I71" s="4" t="s">
        <v>5</v>
      </c>
      <c r="J71" s="4" t="s">
        <v>5</v>
      </c>
    </row>
    <row r="72" spans="1:10" ht="15.5" x14ac:dyDescent="0.35">
      <c r="A72" s="3">
        <v>37681139</v>
      </c>
      <c r="B72" s="4" t="s">
        <v>52</v>
      </c>
      <c r="C72" s="4">
        <v>2023</v>
      </c>
      <c r="D72" s="4" t="s">
        <v>4</v>
      </c>
      <c r="E72" s="4" t="s">
        <v>4</v>
      </c>
      <c r="F72" s="4" t="s">
        <v>4</v>
      </c>
      <c r="G72" s="5" t="s">
        <v>4</v>
      </c>
      <c r="H72" s="5" t="s">
        <v>5</v>
      </c>
      <c r="I72" s="4" t="s">
        <v>5</v>
      </c>
      <c r="J72" s="4" t="s">
        <v>5</v>
      </c>
    </row>
    <row r="73" spans="1:10" ht="15.5" x14ac:dyDescent="0.35">
      <c r="A73" s="3">
        <v>23612443</v>
      </c>
      <c r="B73" s="4" t="s">
        <v>51</v>
      </c>
      <c r="C73" s="4">
        <v>2012</v>
      </c>
      <c r="D73" s="4" t="s">
        <v>4</v>
      </c>
      <c r="E73" s="4" t="s">
        <v>4</v>
      </c>
      <c r="F73" s="4" t="s">
        <v>4</v>
      </c>
      <c r="G73" s="5" t="s">
        <v>4</v>
      </c>
      <c r="H73" s="5" t="s">
        <v>4</v>
      </c>
      <c r="I73" s="4" t="s">
        <v>5</v>
      </c>
      <c r="J73" s="4" t="s">
        <v>4</v>
      </c>
    </row>
    <row r="74" spans="1:10" ht="15.5" x14ac:dyDescent="0.35">
      <c r="A74" s="3">
        <v>35162015</v>
      </c>
      <c r="B74" s="4" t="s">
        <v>50</v>
      </c>
      <c r="C74" s="4">
        <v>2022</v>
      </c>
      <c r="D74" s="4" t="s">
        <v>4</v>
      </c>
      <c r="E74" s="4" t="s">
        <v>4</v>
      </c>
      <c r="F74" s="4" t="s">
        <v>4</v>
      </c>
      <c r="G74" s="5" t="s">
        <v>4</v>
      </c>
      <c r="H74" s="5" t="s">
        <v>5</v>
      </c>
      <c r="I74" s="4" t="s">
        <v>5</v>
      </c>
      <c r="J74" s="4" t="s">
        <v>5</v>
      </c>
    </row>
    <row r="75" spans="1:10" ht="15.5" x14ac:dyDescent="0.35">
      <c r="A75" s="3">
        <v>40047666</v>
      </c>
      <c r="B75" s="4" t="s">
        <v>56</v>
      </c>
      <c r="C75" s="4">
        <v>2025</v>
      </c>
      <c r="D75" s="4" t="s">
        <v>5</v>
      </c>
      <c r="E75" s="4" t="s">
        <v>5</v>
      </c>
      <c r="F75" s="4" t="s">
        <v>5</v>
      </c>
      <c r="G75" s="4" t="s">
        <v>5</v>
      </c>
      <c r="H75" s="5" t="s">
        <v>5</v>
      </c>
      <c r="I75" s="4" t="s">
        <v>5</v>
      </c>
      <c r="J75" s="4" t="s">
        <v>5</v>
      </c>
    </row>
    <row r="76" spans="1:10" ht="15.5" x14ac:dyDescent="0.35">
      <c r="A76" s="3">
        <v>22684961</v>
      </c>
      <c r="B76" s="4" t="s">
        <v>100</v>
      </c>
      <c r="C76" s="4">
        <v>2012</v>
      </c>
      <c r="D76" s="4" t="s">
        <v>4</v>
      </c>
      <c r="E76" s="4" t="s">
        <v>4</v>
      </c>
      <c r="F76" s="4" t="s">
        <v>4</v>
      </c>
      <c r="G76" s="5" t="s">
        <v>4</v>
      </c>
      <c r="H76" s="5" t="s">
        <v>5</v>
      </c>
      <c r="I76" s="4" t="s">
        <v>5</v>
      </c>
      <c r="J76" s="4" t="s">
        <v>5</v>
      </c>
    </row>
    <row r="77" spans="1:10" ht="31" x14ac:dyDescent="0.35">
      <c r="A77" s="3">
        <v>21278189</v>
      </c>
      <c r="B77" s="3" t="s">
        <v>101</v>
      </c>
      <c r="C77" s="4">
        <v>2011</v>
      </c>
      <c r="D77" s="4" t="s">
        <v>4</v>
      </c>
      <c r="E77" s="4" t="s">
        <v>4</v>
      </c>
      <c r="F77" s="4" t="s">
        <v>4</v>
      </c>
      <c r="G77" s="5" t="s">
        <v>4</v>
      </c>
      <c r="H77" s="5" t="s">
        <v>4</v>
      </c>
      <c r="I77" s="4" t="s">
        <v>4</v>
      </c>
      <c r="J77" s="4" t="s">
        <v>5</v>
      </c>
    </row>
    <row r="78" spans="1:10" ht="15.5" x14ac:dyDescent="0.35">
      <c r="A78" s="3">
        <v>32569428</v>
      </c>
      <c r="B78" s="4" t="s">
        <v>60</v>
      </c>
      <c r="C78" s="4">
        <v>2021</v>
      </c>
      <c r="D78" s="4" t="s">
        <v>4</v>
      </c>
      <c r="E78" s="4" t="s">
        <v>4</v>
      </c>
      <c r="F78" s="4" t="s">
        <v>4</v>
      </c>
      <c r="G78" s="5" t="s">
        <v>4</v>
      </c>
      <c r="H78" s="5" t="s">
        <v>5</v>
      </c>
      <c r="I78" s="4" t="s">
        <v>5</v>
      </c>
      <c r="J78" s="4" t="s">
        <v>5</v>
      </c>
    </row>
    <row r="79" spans="1:10" ht="46.5" x14ac:dyDescent="0.35">
      <c r="A79" s="3">
        <v>34042885</v>
      </c>
      <c r="B79" s="3" t="s">
        <v>102</v>
      </c>
      <c r="C79" s="4">
        <v>2021</v>
      </c>
      <c r="D79" s="4" t="s">
        <v>5</v>
      </c>
      <c r="E79" s="4" t="s">
        <v>5</v>
      </c>
      <c r="F79" s="4" t="s">
        <v>5</v>
      </c>
      <c r="G79" s="4" t="s">
        <v>5</v>
      </c>
      <c r="H79" s="5" t="s">
        <v>5</v>
      </c>
      <c r="I79" s="4" t="s">
        <v>5</v>
      </c>
      <c r="J79" s="4" t="s">
        <v>5</v>
      </c>
    </row>
    <row r="80" spans="1:10" ht="15.5" x14ac:dyDescent="0.35">
      <c r="A80" s="3">
        <v>24009664</v>
      </c>
      <c r="B80" s="4" t="s">
        <v>125</v>
      </c>
      <c r="C80" s="4">
        <v>2013</v>
      </c>
      <c r="D80" s="4" t="s">
        <v>4</v>
      </c>
      <c r="E80" s="4" t="s">
        <v>4</v>
      </c>
      <c r="F80" s="4" t="s">
        <v>4</v>
      </c>
      <c r="G80" s="5" t="s">
        <v>4</v>
      </c>
      <c r="H80" s="5" t="s">
        <v>5</v>
      </c>
      <c r="I80" s="4" t="s">
        <v>5</v>
      </c>
      <c r="J80" s="4" t="s">
        <v>5</v>
      </c>
    </row>
    <row r="81" spans="1:10" ht="15.5" x14ac:dyDescent="0.35">
      <c r="A81" s="3">
        <v>37989841</v>
      </c>
      <c r="B81" s="4" t="s">
        <v>49</v>
      </c>
      <c r="C81" s="4">
        <v>2023</v>
      </c>
      <c r="D81" s="4" t="s">
        <v>4</v>
      </c>
      <c r="E81" s="4" t="s">
        <v>4</v>
      </c>
      <c r="F81" s="4" t="s">
        <v>4</v>
      </c>
      <c r="G81" s="5" t="s">
        <v>4</v>
      </c>
      <c r="H81" s="5" t="s">
        <v>5</v>
      </c>
      <c r="I81" s="4" t="s">
        <v>5</v>
      </c>
      <c r="J81" s="4" t="s">
        <v>5</v>
      </c>
    </row>
    <row r="82" spans="1:10" ht="15.5" x14ac:dyDescent="0.35">
      <c r="A82" s="3">
        <v>35697107</v>
      </c>
      <c r="B82" s="4" t="s">
        <v>103</v>
      </c>
      <c r="C82" s="4">
        <v>2022</v>
      </c>
      <c r="D82" s="4" t="s">
        <v>5</v>
      </c>
      <c r="E82" s="4" t="s">
        <v>5</v>
      </c>
      <c r="F82" s="4" t="s">
        <v>5</v>
      </c>
      <c r="G82" s="5" t="s">
        <v>5</v>
      </c>
      <c r="H82" s="5" t="s">
        <v>5</v>
      </c>
      <c r="I82" s="4" t="s">
        <v>5</v>
      </c>
      <c r="J82" s="4" t="s">
        <v>5</v>
      </c>
    </row>
    <row r="83" spans="1:10" ht="15.5" x14ac:dyDescent="0.35">
      <c r="A83" s="3">
        <v>38327618</v>
      </c>
      <c r="B83" s="4" t="s">
        <v>126</v>
      </c>
      <c r="C83" s="4">
        <v>2024</v>
      </c>
      <c r="D83" s="4" t="s">
        <v>4</v>
      </c>
      <c r="E83" s="4" t="s">
        <v>4</v>
      </c>
      <c r="F83" s="4" t="s">
        <v>4</v>
      </c>
      <c r="G83" s="5" t="s">
        <v>4</v>
      </c>
      <c r="H83" s="5" t="s">
        <v>5</v>
      </c>
      <c r="I83" s="4" t="s">
        <v>5</v>
      </c>
      <c r="J83" s="4" t="s">
        <v>5</v>
      </c>
    </row>
    <row r="84" spans="1:10" ht="46.5" x14ac:dyDescent="0.35">
      <c r="A84" s="3">
        <v>28232853</v>
      </c>
      <c r="B84" s="3" t="s">
        <v>104</v>
      </c>
      <c r="C84" s="4">
        <v>2016</v>
      </c>
      <c r="D84" s="4" t="s">
        <v>4</v>
      </c>
      <c r="E84" s="4" t="s">
        <v>4</v>
      </c>
      <c r="F84" s="4" t="s">
        <v>4</v>
      </c>
      <c r="G84" s="5" t="s">
        <v>4</v>
      </c>
      <c r="H84" s="5" t="s">
        <v>4</v>
      </c>
      <c r="I84" s="4" t="s">
        <v>5</v>
      </c>
      <c r="J84" s="4" t="s">
        <v>4</v>
      </c>
    </row>
    <row r="85" spans="1:10" ht="15.5" x14ac:dyDescent="0.35">
      <c r="A85" s="3">
        <v>38931550</v>
      </c>
      <c r="B85" s="4" t="s">
        <v>58</v>
      </c>
      <c r="C85" s="4">
        <v>2024</v>
      </c>
      <c r="D85" s="4" t="s">
        <v>4</v>
      </c>
      <c r="E85" s="4" t="s">
        <v>4</v>
      </c>
      <c r="F85" s="4" t="s">
        <v>4</v>
      </c>
      <c r="G85" s="5" t="s">
        <v>4</v>
      </c>
      <c r="H85" s="5" t="s">
        <v>5</v>
      </c>
      <c r="I85" s="4" t="s">
        <v>5</v>
      </c>
      <c r="J85" s="4" t="s">
        <v>5</v>
      </c>
    </row>
    <row r="86" spans="1:10" ht="15.5" x14ac:dyDescent="0.35">
      <c r="A86" s="3">
        <v>30619859</v>
      </c>
      <c r="B86" s="4" t="s">
        <v>64</v>
      </c>
      <c r="C86" s="4">
        <v>2018</v>
      </c>
      <c r="D86" s="4" t="s">
        <v>4</v>
      </c>
      <c r="E86" s="4" t="s">
        <v>4</v>
      </c>
      <c r="F86" s="4" t="s">
        <v>4</v>
      </c>
      <c r="G86" s="5" t="s">
        <v>4</v>
      </c>
      <c r="H86" s="5" t="s">
        <v>5</v>
      </c>
      <c r="I86" s="4" t="s">
        <v>5</v>
      </c>
      <c r="J86" s="4" t="s">
        <v>5</v>
      </c>
    </row>
    <row r="87" spans="1:10" ht="15.5" x14ac:dyDescent="0.35">
      <c r="A87" s="3">
        <v>24790290</v>
      </c>
      <c r="B87" s="4" t="s">
        <v>63</v>
      </c>
      <c r="C87" s="4">
        <v>2013</v>
      </c>
      <c r="D87" s="4" t="s">
        <v>4</v>
      </c>
      <c r="E87" s="4" t="s">
        <v>4</v>
      </c>
      <c r="F87" s="4" t="s">
        <v>4</v>
      </c>
      <c r="G87" s="5" t="s">
        <v>4</v>
      </c>
      <c r="H87" s="5" t="s">
        <v>5</v>
      </c>
      <c r="I87" s="4" t="s">
        <v>5</v>
      </c>
      <c r="J87" s="4" t="s">
        <v>5</v>
      </c>
    </row>
    <row r="88" spans="1:10" ht="15.5" x14ac:dyDescent="0.35">
      <c r="A88" s="3">
        <v>28381997</v>
      </c>
      <c r="B88" s="4" t="s">
        <v>57</v>
      </c>
      <c r="C88" s="4">
        <v>2017</v>
      </c>
      <c r="D88" s="4" t="s">
        <v>4</v>
      </c>
      <c r="E88" s="4" t="s">
        <v>4</v>
      </c>
      <c r="F88" s="4" t="s">
        <v>4</v>
      </c>
      <c r="G88" s="5" t="s">
        <v>4</v>
      </c>
      <c r="H88" s="5" t="s">
        <v>4</v>
      </c>
      <c r="I88" s="4" t="s">
        <v>4</v>
      </c>
      <c r="J88" s="4" t="s">
        <v>5</v>
      </c>
    </row>
    <row r="89" spans="1:10" ht="15.5" x14ac:dyDescent="0.35">
      <c r="A89" s="3">
        <v>40767656</v>
      </c>
      <c r="B89" s="4" t="s">
        <v>67</v>
      </c>
      <c r="C89" s="4">
        <v>2025</v>
      </c>
      <c r="D89" s="4" t="s">
        <v>4</v>
      </c>
      <c r="E89" s="4" t="s">
        <v>4</v>
      </c>
      <c r="F89" s="4" t="s">
        <v>4</v>
      </c>
      <c r="G89" s="5" t="s">
        <v>4</v>
      </c>
      <c r="H89" s="5" t="s">
        <v>5</v>
      </c>
      <c r="I89" s="4" t="s">
        <v>5</v>
      </c>
      <c r="J89" s="4" t="s">
        <v>5</v>
      </c>
    </row>
    <row r="90" spans="1:10" ht="15.5" x14ac:dyDescent="0.35">
      <c r="A90" s="3">
        <v>33668881</v>
      </c>
      <c r="B90" s="4" t="s">
        <v>65</v>
      </c>
      <c r="C90" s="4">
        <v>2021</v>
      </c>
      <c r="D90" s="4" t="s">
        <v>4</v>
      </c>
      <c r="E90" s="4" t="s">
        <v>4</v>
      </c>
      <c r="F90" s="4" t="s">
        <v>4</v>
      </c>
      <c r="G90" s="5" t="s">
        <v>4</v>
      </c>
      <c r="H90" s="5" t="s">
        <v>5</v>
      </c>
      <c r="I90" s="4" t="s">
        <v>5</v>
      </c>
      <c r="J90" s="4" t="s">
        <v>5</v>
      </c>
    </row>
    <row r="91" spans="1:10" ht="15.5" x14ac:dyDescent="0.35">
      <c r="A91" s="3">
        <v>18094475</v>
      </c>
      <c r="B91" s="4" t="s">
        <v>62</v>
      </c>
      <c r="C91" s="4">
        <v>2008</v>
      </c>
      <c r="D91" s="4" t="s">
        <v>4</v>
      </c>
      <c r="E91" s="4" t="s">
        <v>4</v>
      </c>
      <c r="F91" s="4" t="s">
        <v>4</v>
      </c>
      <c r="G91" s="5" t="s">
        <v>4</v>
      </c>
      <c r="H91" s="5" t="s">
        <v>5</v>
      </c>
      <c r="I91" s="4" t="s">
        <v>5</v>
      </c>
      <c r="J91" s="4" t="s">
        <v>5</v>
      </c>
    </row>
    <row r="92" spans="1:10" ht="15.5" x14ac:dyDescent="0.35">
      <c r="A92" s="3">
        <v>21893796</v>
      </c>
      <c r="B92" s="4" t="s">
        <v>105</v>
      </c>
      <c r="C92" s="4">
        <v>2011</v>
      </c>
      <c r="D92" s="4" t="s">
        <v>5</v>
      </c>
      <c r="E92" s="4" t="s">
        <v>5</v>
      </c>
      <c r="F92" s="4" t="s">
        <v>5</v>
      </c>
      <c r="G92" s="4" t="s">
        <v>5</v>
      </c>
      <c r="H92" s="5" t="s">
        <v>5</v>
      </c>
      <c r="I92" s="4" t="s">
        <v>5</v>
      </c>
      <c r="J92" s="4" t="s">
        <v>5</v>
      </c>
    </row>
    <row r="93" spans="1:10" ht="15.5" x14ac:dyDescent="0.35">
      <c r="A93" s="3">
        <v>20157357</v>
      </c>
      <c r="B93" s="4" t="s">
        <v>66</v>
      </c>
      <c r="C93" s="4">
        <v>2009</v>
      </c>
      <c r="D93" s="4" t="s">
        <v>4</v>
      </c>
      <c r="E93" s="4" t="s">
        <v>4</v>
      </c>
      <c r="F93" s="4" t="s">
        <v>4</v>
      </c>
      <c r="G93" s="5" t="s">
        <v>4</v>
      </c>
      <c r="H93" s="5" t="s">
        <v>5</v>
      </c>
      <c r="I93" s="4" t="s">
        <v>5</v>
      </c>
      <c r="J93" s="4" t="s">
        <v>5</v>
      </c>
    </row>
    <row r="94" spans="1:10" ht="15.5" x14ac:dyDescent="0.35">
      <c r="A94" s="3">
        <v>27552749</v>
      </c>
      <c r="B94" s="4" t="s">
        <v>106</v>
      </c>
      <c r="C94" s="4">
        <v>2016</v>
      </c>
      <c r="D94" s="4" t="s">
        <v>4</v>
      </c>
      <c r="E94" s="4" t="s">
        <v>4</v>
      </c>
      <c r="F94" s="4" t="s">
        <v>4</v>
      </c>
      <c r="G94" s="5" t="s">
        <v>4</v>
      </c>
      <c r="H94" s="5" t="s">
        <v>5</v>
      </c>
      <c r="I94" s="4" t="s">
        <v>5</v>
      </c>
      <c r="J94" s="4" t="s">
        <v>5</v>
      </c>
    </row>
    <row r="95" spans="1:10" ht="15.5" x14ac:dyDescent="0.35">
      <c r="A95" s="3">
        <v>40914189</v>
      </c>
      <c r="B95" s="4" t="s">
        <v>61</v>
      </c>
      <c r="C95" s="4">
        <v>2025</v>
      </c>
      <c r="D95" s="4" t="s">
        <v>4</v>
      </c>
      <c r="E95" s="4" t="s">
        <v>4</v>
      </c>
      <c r="F95" s="4" t="s">
        <v>4</v>
      </c>
      <c r="G95" s="5" t="s">
        <v>4</v>
      </c>
      <c r="H95" s="5" t="s">
        <v>5</v>
      </c>
      <c r="I95" s="4" t="s">
        <v>5</v>
      </c>
      <c r="J95" s="4" t="s">
        <v>5</v>
      </c>
    </row>
    <row r="96" spans="1:10" ht="46.5" x14ac:dyDescent="0.35">
      <c r="A96" s="3">
        <v>22874239</v>
      </c>
      <c r="B96" s="3" t="s">
        <v>107</v>
      </c>
      <c r="C96" s="4">
        <v>2012</v>
      </c>
      <c r="D96" s="4" t="s">
        <v>5</v>
      </c>
      <c r="E96" s="4" t="s">
        <v>5</v>
      </c>
      <c r="F96" s="4" t="s">
        <v>5</v>
      </c>
      <c r="G96" s="4" t="s">
        <v>5</v>
      </c>
      <c r="H96" s="5" t="s">
        <v>5</v>
      </c>
      <c r="I96" s="4" t="s">
        <v>5</v>
      </c>
      <c r="J96" s="4" t="s">
        <v>5</v>
      </c>
    </row>
    <row r="97" spans="1:10" ht="15.5" x14ac:dyDescent="0.35">
      <c r="A97" s="3">
        <v>25945571</v>
      </c>
      <c r="B97" s="4" t="s">
        <v>48</v>
      </c>
      <c r="C97" s="4">
        <v>2015</v>
      </c>
      <c r="D97" s="4" t="s">
        <v>4</v>
      </c>
      <c r="E97" s="4" t="s">
        <v>4</v>
      </c>
      <c r="F97" s="4" t="s">
        <v>4</v>
      </c>
      <c r="G97" s="5" t="s">
        <v>4</v>
      </c>
      <c r="H97" s="5" t="s">
        <v>5</v>
      </c>
      <c r="I97" s="4" t="s">
        <v>5</v>
      </c>
      <c r="J97" s="4" t="s">
        <v>5</v>
      </c>
    </row>
    <row r="98" spans="1:10" ht="15.5" x14ac:dyDescent="0.35">
      <c r="A98" s="3">
        <v>25870169</v>
      </c>
      <c r="B98" s="4" t="s">
        <v>70</v>
      </c>
      <c r="C98" s="4">
        <v>2016</v>
      </c>
      <c r="D98" s="4" t="s">
        <v>4</v>
      </c>
      <c r="E98" s="4" t="s">
        <v>4</v>
      </c>
      <c r="F98" s="4" t="s">
        <v>4</v>
      </c>
      <c r="G98" s="5" t="s">
        <v>4</v>
      </c>
      <c r="H98" s="5" t="s">
        <v>4</v>
      </c>
      <c r="I98" s="4" t="s">
        <v>4</v>
      </c>
      <c r="J98" s="4" t="s">
        <v>128</v>
      </c>
    </row>
    <row r="99" spans="1:10" ht="15.5" x14ac:dyDescent="0.35">
      <c r="A99" s="3">
        <v>33816954</v>
      </c>
      <c r="B99" s="4" t="s">
        <v>59</v>
      </c>
      <c r="C99" s="4">
        <v>2020</v>
      </c>
      <c r="D99" s="4" t="s">
        <v>4</v>
      </c>
      <c r="E99" s="4" t="s">
        <v>4</v>
      </c>
      <c r="F99" s="4" t="s">
        <v>4</v>
      </c>
      <c r="G99" s="5" t="s">
        <v>4</v>
      </c>
      <c r="H99" s="5" t="s">
        <v>5</v>
      </c>
      <c r="I99" s="4" t="s">
        <v>5</v>
      </c>
      <c r="J99" s="4" t="s">
        <v>5</v>
      </c>
    </row>
    <row r="100" spans="1:10" ht="15.5" x14ac:dyDescent="0.35">
      <c r="A100" s="3">
        <v>19500956</v>
      </c>
      <c r="B100" s="4" t="s">
        <v>108</v>
      </c>
      <c r="C100" s="4">
        <v>2009</v>
      </c>
      <c r="D100" s="4" t="s">
        <v>4</v>
      </c>
      <c r="E100" s="4" t="s">
        <v>4</v>
      </c>
      <c r="F100" s="4" t="s">
        <v>4</v>
      </c>
      <c r="G100" s="5" t="s">
        <v>4</v>
      </c>
      <c r="H100" s="5" t="s">
        <v>4</v>
      </c>
      <c r="I100" s="4" t="s">
        <v>5</v>
      </c>
      <c r="J100" s="4" t="s">
        <v>4</v>
      </c>
    </row>
    <row r="101" spans="1:10" ht="15.5" x14ac:dyDescent="0.35">
      <c r="A101" s="3">
        <v>17291828</v>
      </c>
      <c r="B101" s="4" t="s">
        <v>109</v>
      </c>
      <c r="C101" s="4">
        <v>2007</v>
      </c>
      <c r="D101" s="4" t="s">
        <v>4</v>
      </c>
      <c r="E101" s="4" t="s">
        <v>4</v>
      </c>
      <c r="F101" s="4" t="s">
        <v>4</v>
      </c>
      <c r="G101" s="5" t="s">
        <v>4</v>
      </c>
      <c r="H101" s="5" t="s">
        <v>4</v>
      </c>
      <c r="I101" s="4" t="s">
        <v>5</v>
      </c>
      <c r="J101" s="4" t="s">
        <v>4</v>
      </c>
    </row>
    <row r="102" spans="1:10" ht="31" x14ac:dyDescent="0.35">
      <c r="A102" s="3">
        <v>17985253</v>
      </c>
      <c r="B102" s="3" t="s">
        <v>110</v>
      </c>
      <c r="C102" s="4">
        <v>2007</v>
      </c>
      <c r="D102" s="4" t="s">
        <v>4</v>
      </c>
      <c r="E102" s="4" t="s">
        <v>4</v>
      </c>
      <c r="F102" s="4" t="s">
        <v>4</v>
      </c>
      <c r="G102" s="5" t="s">
        <v>4</v>
      </c>
      <c r="H102" s="5" t="s">
        <v>5</v>
      </c>
      <c r="I102" s="4" t="s">
        <v>5</v>
      </c>
      <c r="J102" s="4" t="s">
        <v>5</v>
      </c>
    </row>
    <row r="103" spans="1:10" ht="15.5" x14ac:dyDescent="0.35">
      <c r="A103" s="3">
        <v>28479932</v>
      </c>
      <c r="B103" s="4" t="s">
        <v>69</v>
      </c>
      <c r="C103" s="4">
        <v>2012</v>
      </c>
      <c r="D103" s="4" t="s">
        <v>4</v>
      </c>
      <c r="E103" s="4" t="s">
        <v>4</v>
      </c>
      <c r="F103" s="4" t="s">
        <v>4</v>
      </c>
      <c r="G103" s="5" t="s">
        <v>4</v>
      </c>
      <c r="H103" s="5" t="s">
        <v>4</v>
      </c>
      <c r="I103" s="4" t="s">
        <v>5</v>
      </c>
      <c r="J103" s="4" t="s">
        <v>4</v>
      </c>
    </row>
    <row r="104" spans="1:10" ht="31" x14ac:dyDescent="0.35">
      <c r="A104" s="3">
        <v>12695793</v>
      </c>
      <c r="B104" s="3" t="s">
        <v>111</v>
      </c>
      <c r="C104" s="4">
        <v>2003</v>
      </c>
      <c r="D104" s="4" t="s">
        <v>5</v>
      </c>
      <c r="E104" s="4" t="s">
        <v>5</v>
      </c>
      <c r="F104" s="4" t="s">
        <v>5</v>
      </c>
      <c r="G104" s="4" t="s">
        <v>5</v>
      </c>
      <c r="H104" s="5" t="s">
        <v>5</v>
      </c>
      <c r="I104" s="4" t="s">
        <v>5</v>
      </c>
      <c r="J104" s="4" t="s">
        <v>5</v>
      </c>
    </row>
    <row r="105" spans="1:10" ht="62" x14ac:dyDescent="0.35">
      <c r="A105" s="3">
        <v>10871211</v>
      </c>
      <c r="B105" s="3" t="s">
        <v>198</v>
      </c>
      <c r="C105" s="4">
        <v>2000</v>
      </c>
      <c r="D105" s="4" t="s">
        <v>4</v>
      </c>
      <c r="E105" s="4" t="s">
        <v>5</v>
      </c>
      <c r="F105" s="4" t="s">
        <v>5</v>
      </c>
      <c r="G105" s="4" t="s">
        <v>5</v>
      </c>
      <c r="H105" s="4" t="s">
        <v>5</v>
      </c>
      <c r="I105" s="4" t="s">
        <v>5</v>
      </c>
      <c r="J105" s="4" t="s">
        <v>5</v>
      </c>
    </row>
    <row r="106" spans="1:10" ht="15.5" x14ac:dyDescent="0.35">
      <c r="A106" s="3">
        <v>21788681</v>
      </c>
      <c r="B106" s="4" t="s">
        <v>71</v>
      </c>
      <c r="C106" s="4">
        <v>2011</v>
      </c>
      <c r="D106" s="4" t="s">
        <v>4</v>
      </c>
      <c r="E106" s="4" t="s">
        <v>4</v>
      </c>
      <c r="F106" s="4" t="s">
        <v>4</v>
      </c>
      <c r="G106" s="5" t="s">
        <v>4</v>
      </c>
      <c r="H106" s="5" t="s">
        <v>4</v>
      </c>
      <c r="I106" s="4" t="s">
        <v>5</v>
      </c>
      <c r="J106" s="4" t="s">
        <v>4</v>
      </c>
    </row>
    <row r="107" spans="1:10" ht="15.5" x14ac:dyDescent="0.35">
      <c r="A107" s="3">
        <v>16934139</v>
      </c>
      <c r="B107" s="4" t="s">
        <v>73</v>
      </c>
      <c r="C107" s="4">
        <v>2006</v>
      </c>
      <c r="D107" s="4" t="s">
        <v>4</v>
      </c>
      <c r="E107" s="4" t="s">
        <v>4</v>
      </c>
      <c r="F107" s="4" t="s">
        <v>4</v>
      </c>
      <c r="G107" s="5" t="s">
        <v>4</v>
      </c>
      <c r="H107" s="5" t="s">
        <v>5</v>
      </c>
      <c r="I107" s="4" t="s">
        <v>5</v>
      </c>
      <c r="J107" s="4" t="s">
        <v>5</v>
      </c>
    </row>
    <row r="108" spans="1:10" ht="15.5" x14ac:dyDescent="0.35">
      <c r="A108" s="3">
        <v>20346188</v>
      </c>
      <c r="B108" s="4" t="s">
        <v>68</v>
      </c>
      <c r="C108" s="4">
        <v>2010</v>
      </c>
      <c r="D108" s="4" t="s">
        <v>4</v>
      </c>
      <c r="E108" s="4" t="s">
        <v>4</v>
      </c>
      <c r="F108" s="4" t="s">
        <v>4</v>
      </c>
      <c r="G108" s="5" t="s">
        <v>4</v>
      </c>
      <c r="H108" s="5" t="s">
        <v>4</v>
      </c>
      <c r="I108" s="4" t="s">
        <v>5</v>
      </c>
      <c r="J108" s="4" t="s">
        <v>4</v>
      </c>
    </row>
    <row r="109" spans="1:10" ht="15.5" x14ac:dyDescent="0.35">
      <c r="A109" s="3">
        <v>22103702</v>
      </c>
      <c r="B109" s="4" t="s">
        <v>112</v>
      </c>
      <c r="C109" s="4">
        <v>2011</v>
      </c>
      <c r="D109" s="4" t="s">
        <v>5</v>
      </c>
      <c r="E109" s="4" t="s">
        <v>5</v>
      </c>
      <c r="F109" s="4" t="s">
        <v>5</v>
      </c>
      <c r="G109" s="4" t="s">
        <v>5</v>
      </c>
      <c r="H109" s="5" t="s">
        <v>5</v>
      </c>
      <c r="I109" s="4" t="s">
        <v>5</v>
      </c>
      <c r="J109" s="4" t="s">
        <v>5</v>
      </c>
    </row>
    <row r="110" spans="1:10" ht="15.5" x14ac:dyDescent="0.35">
      <c r="A110" s="3">
        <v>16087095</v>
      </c>
      <c r="B110" s="4" t="s">
        <v>113</v>
      </c>
      <c r="C110" s="4">
        <v>2005</v>
      </c>
      <c r="D110" s="4" t="s">
        <v>4</v>
      </c>
      <c r="E110" s="4" t="s">
        <v>4</v>
      </c>
      <c r="F110" s="4" t="s">
        <v>4</v>
      </c>
      <c r="G110" s="5" t="s">
        <v>4</v>
      </c>
      <c r="H110" s="5" t="s">
        <v>4</v>
      </c>
      <c r="I110" s="4" t="s">
        <v>5</v>
      </c>
      <c r="J110" s="4" t="s">
        <v>4</v>
      </c>
    </row>
    <row r="111" spans="1:10" ht="15.5" x14ac:dyDescent="0.35">
      <c r="A111" s="3">
        <v>41157540</v>
      </c>
      <c r="B111" s="4" t="s">
        <v>72</v>
      </c>
      <c r="C111" s="4">
        <v>2025</v>
      </c>
      <c r="D111" s="4" t="s">
        <v>4</v>
      </c>
      <c r="E111" s="4" t="s">
        <v>4</v>
      </c>
      <c r="F111" s="4" t="s">
        <v>4</v>
      </c>
      <c r="G111" s="5" t="s">
        <v>4</v>
      </c>
      <c r="H111" s="5" t="s">
        <v>5</v>
      </c>
      <c r="I111" s="4" t="s">
        <v>5</v>
      </c>
      <c r="J111" s="4" t="s">
        <v>5</v>
      </c>
    </row>
    <row r="112" spans="1:10" ht="15.5" x14ac:dyDescent="0.35">
      <c r="A112" s="3">
        <v>31981217</v>
      </c>
      <c r="B112" s="4" t="s">
        <v>114</v>
      </c>
      <c r="C112" s="4">
        <v>2020</v>
      </c>
      <c r="D112" s="4" t="s">
        <v>4</v>
      </c>
      <c r="E112" s="4" t="s">
        <v>4</v>
      </c>
      <c r="F112" s="4" t="s">
        <v>4</v>
      </c>
      <c r="G112" s="5" t="s">
        <v>4</v>
      </c>
      <c r="H112" s="5" t="s">
        <v>5</v>
      </c>
      <c r="I112" s="4" t="s">
        <v>5</v>
      </c>
      <c r="J112" s="4" t="s">
        <v>5</v>
      </c>
    </row>
    <row r="113" spans="1:10" ht="46.5" x14ac:dyDescent="0.35">
      <c r="A113" s="3">
        <v>17372348</v>
      </c>
      <c r="B113" s="3" t="s">
        <v>115</v>
      </c>
      <c r="C113" s="4">
        <v>2007</v>
      </c>
      <c r="D113" s="4" t="s">
        <v>4</v>
      </c>
      <c r="E113" s="4" t="s">
        <v>4</v>
      </c>
      <c r="F113" s="4" t="s">
        <v>4</v>
      </c>
      <c r="G113" s="5" t="s">
        <v>4</v>
      </c>
      <c r="H113" s="5" t="s">
        <v>5</v>
      </c>
      <c r="I113" s="4" t="s">
        <v>5</v>
      </c>
      <c r="J113" s="4" t="s">
        <v>5</v>
      </c>
    </row>
    <row r="114" spans="1:10" ht="15.5" x14ac:dyDescent="0.35">
      <c r="A114" s="3">
        <v>17644819</v>
      </c>
      <c r="B114" s="4" t="s">
        <v>116</v>
      </c>
      <c r="C114" s="4">
        <v>2007</v>
      </c>
      <c r="D114" s="4" t="s">
        <v>4</v>
      </c>
      <c r="E114" s="4" t="s">
        <v>4</v>
      </c>
      <c r="F114" s="4" t="s">
        <v>4</v>
      </c>
      <c r="G114" s="5" t="s">
        <v>4</v>
      </c>
      <c r="H114" s="5" t="s">
        <v>5</v>
      </c>
      <c r="I114" s="4" t="s">
        <v>5</v>
      </c>
      <c r="J114" s="4" t="s">
        <v>5</v>
      </c>
    </row>
    <row r="115" spans="1:10" ht="15.5" x14ac:dyDescent="0.35">
      <c r="A115" s="3">
        <v>18337261</v>
      </c>
      <c r="B115" s="4" t="s">
        <v>117</v>
      </c>
      <c r="C115" s="4">
        <v>2008</v>
      </c>
      <c r="D115" s="4" t="s">
        <v>4</v>
      </c>
      <c r="E115" s="4" t="s">
        <v>4</v>
      </c>
      <c r="F115" s="4" t="s">
        <v>4</v>
      </c>
      <c r="G115" s="5" t="s">
        <v>4</v>
      </c>
      <c r="H115" s="5" t="s">
        <v>4</v>
      </c>
      <c r="I115" s="4" t="s">
        <v>4</v>
      </c>
      <c r="J115" s="4" t="s">
        <v>5</v>
      </c>
    </row>
    <row r="116" spans="1:10" ht="46.5" x14ac:dyDescent="0.35">
      <c r="A116" s="3">
        <v>19593043</v>
      </c>
      <c r="B116" s="3" t="s">
        <v>118</v>
      </c>
      <c r="C116" s="4">
        <v>2007</v>
      </c>
      <c r="D116" s="4" t="s">
        <v>5</v>
      </c>
      <c r="E116" s="4" t="s">
        <v>5</v>
      </c>
      <c r="F116" s="4" t="s">
        <v>5</v>
      </c>
      <c r="G116" s="4" t="s">
        <v>5</v>
      </c>
      <c r="H116" s="5" t="s">
        <v>5</v>
      </c>
      <c r="I116" s="4" t="s">
        <v>5</v>
      </c>
      <c r="J116" s="4" t="s">
        <v>5</v>
      </c>
    </row>
    <row r="117" spans="1:10" ht="46.5" x14ac:dyDescent="0.35">
      <c r="A117" s="3">
        <v>16531352</v>
      </c>
      <c r="B117" s="3" t="s">
        <v>119</v>
      </c>
      <c r="C117" s="4">
        <v>2005</v>
      </c>
      <c r="D117" s="4" t="s">
        <v>4</v>
      </c>
      <c r="E117" s="4" t="s">
        <v>4</v>
      </c>
      <c r="F117" s="4" t="s">
        <v>4</v>
      </c>
      <c r="G117" s="5" t="s">
        <v>4</v>
      </c>
      <c r="H117" s="5" t="s">
        <v>4</v>
      </c>
      <c r="I117" s="4" t="s">
        <v>5</v>
      </c>
      <c r="J117" s="4" t="s">
        <v>4</v>
      </c>
    </row>
    <row r="118" spans="1:10" ht="15.5" x14ac:dyDescent="0.35">
      <c r="A118" s="3">
        <v>27006915</v>
      </c>
      <c r="B118" s="4" t="s">
        <v>74</v>
      </c>
      <c r="C118" s="4">
        <v>2013</v>
      </c>
      <c r="D118" s="4" t="s">
        <v>4</v>
      </c>
      <c r="E118" s="4" t="s">
        <v>4</v>
      </c>
      <c r="F118" s="4" t="s">
        <v>4</v>
      </c>
      <c r="G118" s="5" t="s">
        <v>4</v>
      </c>
      <c r="H118" s="5" t="s">
        <v>4</v>
      </c>
      <c r="I118" s="4" t="s">
        <v>5</v>
      </c>
      <c r="J118" s="4" t="s">
        <v>4</v>
      </c>
    </row>
    <row r="119" spans="1:10" ht="15.5" x14ac:dyDescent="0.35">
      <c r="A119" s="3">
        <v>17238440</v>
      </c>
      <c r="B119" s="4" t="s">
        <v>75</v>
      </c>
      <c r="C119" s="4">
        <v>2006</v>
      </c>
      <c r="D119" s="4" t="s">
        <v>4</v>
      </c>
      <c r="E119" s="4" t="s">
        <v>4</v>
      </c>
      <c r="F119" s="4" t="s">
        <v>4</v>
      </c>
      <c r="G119" s="5" t="s">
        <v>4</v>
      </c>
      <c r="H119" s="5" t="s">
        <v>5</v>
      </c>
      <c r="I119" s="4" t="s">
        <v>5</v>
      </c>
      <c r="J119" s="4" t="s">
        <v>5</v>
      </c>
    </row>
    <row r="120" spans="1:10" ht="46.5" x14ac:dyDescent="0.35">
      <c r="A120" s="3">
        <v>16823126</v>
      </c>
      <c r="B120" s="3" t="s">
        <v>120</v>
      </c>
      <c r="C120" s="4">
        <v>2006</v>
      </c>
      <c r="D120" s="4" t="s">
        <v>5</v>
      </c>
      <c r="E120" s="4" t="s">
        <v>5</v>
      </c>
      <c r="F120" s="4" t="s">
        <v>5</v>
      </c>
      <c r="G120" s="4" t="s">
        <v>5</v>
      </c>
      <c r="H120" s="5" t="s">
        <v>5</v>
      </c>
      <c r="I120" s="4" t="s">
        <v>5</v>
      </c>
      <c r="J120" s="4" t="s">
        <v>5</v>
      </c>
    </row>
    <row r="121" spans="1:10" ht="31" x14ac:dyDescent="0.35">
      <c r="A121" s="3">
        <v>20180269</v>
      </c>
      <c r="B121" s="3" t="s">
        <v>121</v>
      </c>
      <c r="C121" s="4">
        <v>2009</v>
      </c>
      <c r="D121" s="4" t="s">
        <v>5</v>
      </c>
      <c r="E121" s="4" t="s">
        <v>5</v>
      </c>
      <c r="F121" s="4" t="s">
        <v>5</v>
      </c>
      <c r="G121" s="4" t="s">
        <v>5</v>
      </c>
      <c r="H121" s="5" t="s">
        <v>5</v>
      </c>
      <c r="I121" s="4" t="s">
        <v>5</v>
      </c>
      <c r="J121" s="4" t="s">
        <v>5</v>
      </c>
    </row>
    <row r="122" spans="1:10" ht="15.5" x14ac:dyDescent="0.35">
      <c r="A122" s="3">
        <v>19745396</v>
      </c>
      <c r="B122" s="3" t="s">
        <v>122</v>
      </c>
      <c r="C122" s="4">
        <v>2009</v>
      </c>
      <c r="D122" s="4" t="s">
        <v>5</v>
      </c>
      <c r="E122" s="4" t="s">
        <v>5</v>
      </c>
      <c r="F122" s="4" t="s">
        <v>5</v>
      </c>
      <c r="G122" s="4" t="s">
        <v>5</v>
      </c>
      <c r="H122" s="5" t="s">
        <v>5</v>
      </c>
      <c r="I122" s="4" t="s">
        <v>5</v>
      </c>
      <c r="J122" s="4" t="s">
        <v>5</v>
      </c>
    </row>
    <row r="123" spans="1:10" ht="31" x14ac:dyDescent="0.35">
      <c r="A123" s="3">
        <v>18998781</v>
      </c>
      <c r="B123" s="3" t="s">
        <v>123</v>
      </c>
      <c r="C123" s="4">
        <v>2008</v>
      </c>
      <c r="D123" s="4" t="s">
        <v>5</v>
      </c>
      <c r="E123" s="4" t="s">
        <v>5</v>
      </c>
      <c r="F123" s="4" t="s">
        <v>5</v>
      </c>
      <c r="G123" s="4" t="s">
        <v>5</v>
      </c>
      <c r="H123" s="5" t="s">
        <v>5</v>
      </c>
      <c r="I123" s="4" t="s">
        <v>5</v>
      </c>
      <c r="J123" s="4" t="s">
        <v>5</v>
      </c>
    </row>
    <row r="124" spans="1:10" ht="31" x14ac:dyDescent="0.35">
      <c r="A124" s="3">
        <v>41268369</v>
      </c>
      <c r="B124" s="3" t="s">
        <v>124</v>
      </c>
      <c r="C124" s="4">
        <v>2025</v>
      </c>
      <c r="D124" s="4" t="s">
        <v>4</v>
      </c>
      <c r="E124" s="4" t="s">
        <v>4</v>
      </c>
      <c r="F124" s="4" t="s">
        <v>4</v>
      </c>
      <c r="G124" s="5" t="s">
        <v>4</v>
      </c>
      <c r="H124" s="5" t="s">
        <v>4</v>
      </c>
      <c r="I124" s="4" t="s">
        <v>5</v>
      </c>
      <c r="J124" s="4" t="s">
        <v>4</v>
      </c>
    </row>
    <row r="125" spans="1:10" ht="46.5" x14ac:dyDescent="0.35">
      <c r="A125" s="4">
        <v>41385470</v>
      </c>
      <c r="B125" s="1" t="s">
        <v>129</v>
      </c>
      <c r="C125" s="4">
        <v>2025</v>
      </c>
      <c r="D125" s="4" t="s">
        <v>5</v>
      </c>
      <c r="E125" s="4" t="s">
        <v>5</v>
      </c>
      <c r="F125" s="4" t="s">
        <v>5</v>
      </c>
      <c r="G125" s="4" t="s">
        <v>5</v>
      </c>
      <c r="H125" s="5" t="s">
        <v>5</v>
      </c>
      <c r="I125" s="4" t="s">
        <v>5</v>
      </c>
      <c r="J125" s="4" t="s">
        <v>5</v>
      </c>
    </row>
    <row r="126" spans="1:10" ht="31" x14ac:dyDescent="0.35">
      <c r="A126" s="3">
        <v>41394085</v>
      </c>
      <c r="B126" s="3" t="s">
        <v>130</v>
      </c>
      <c r="C126" s="4">
        <v>2025</v>
      </c>
      <c r="D126" s="4" t="s">
        <v>4</v>
      </c>
      <c r="E126" s="4" t="s">
        <v>4</v>
      </c>
      <c r="F126" s="4" t="s">
        <v>4</v>
      </c>
      <c r="G126" s="4" t="s">
        <v>4</v>
      </c>
      <c r="H126" s="5" t="s">
        <v>5</v>
      </c>
      <c r="I126" s="4" t="s">
        <v>5</v>
      </c>
      <c r="J126" s="4" t="s">
        <v>5</v>
      </c>
    </row>
    <row r="127" spans="1:10" ht="31" x14ac:dyDescent="0.35">
      <c r="A127" s="11">
        <v>41450588</v>
      </c>
      <c r="B127" s="1" t="s">
        <v>131</v>
      </c>
      <c r="C127" s="4">
        <v>2025</v>
      </c>
      <c r="D127" s="4" t="s">
        <v>5</v>
      </c>
      <c r="E127" s="4" t="s">
        <v>5</v>
      </c>
      <c r="F127" s="4" t="s">
        <v>5</v>
      </c>
      <c r="G127" s="4" t="s">
        <v>5</v>
      </c>
      <c r="H127" s="5" t="s">
        <v>5</v>
      </c>
      <c r="I127" s="4" t="s">
        <v>5</v>
      </c>
      <c r="J127" s="4" t="s">
        <v>5</v>
      </c>
    </row>
    <row r="128" spans="1:10" ht="15.5" x14ac:dyDescent="0.35">
      <c r="A128" s="12"/>
      <c r="B128" s="2"/>
      <c r="C128" s="13"/>
      <c r="D128" s="13"/>
      <c r="E128" s="13"/>
      <c r="F128" s="13"/>
      <c r="G128" s="13"/>
      <c r="H128" s="14"/>
      <c r="I128" s="13"/>
      <c r="J128" s="13"/>
    </row>
    <row r="129" spans="1:10" ht="15.5" x14ac:dyDescent="0.35">
      <c r="A129" s="13"/>
      <c r="B129" s="13"/>
      <c r="C129" s="13" t="s">
        <v>178</v>
      </c>
      <c r="D129" s="13">
        <f>COUNTIF(D2:D128,"Y")</f>
        <v>98</v>
      </c>
      <c r="E129" s="13">
        <f t="shared" ref="E129:J129" si="0">COUNTIF(E2:E128,"Y")</f>
        <v>97</v>
      </c>
      <c r="F129" s="13">
        <f t="shared" si="0"/>
        <v>97</v>
      </c>
      <c r="G129" s="13">
        <f t="shared" si="0"/>
        <v>97</v>
      </c>
      <c r="H129" s="13">
        <f t="shared" ref="H129" si="1">COUNTIF(H2:H128,"Y")</f>
        <v>45</v>
      </c>
      <c r="I129" s="13">
        <f>COUNTIF(I2:I128,"Y")</f>
        <v>15</v>
      </c>
      <c r="J129" s="13">
        <f t="shared" si="0"/>
        <v>30</v>
      </c>
    </row>
    <row r="130" spans="1:10" ht="15.5" x14ac:dyDescent="0.35">
      <c r="A130" s="13"/>
      <c r="B130" s="13"/>
      <c r="C130" s="13" t="s">
        <v>179</v>
      </c>
      <c r="D130" s="13">
        <f>COUNTIF(D2:D128,"N")</f>
        <v>28</v>
      </c>
      <c r="E130" s="13">
        <f t="shared" ref="E130:J130" si="2">COUNTIF(E2:E128,"N")</f>
        <v>29</v>
      </c>
      <c r="F130" s="13">
        <f t="shared" si="2"/>
        <v>29</v>
      </c>
      <c r="G130" s="13">
        <f t="shared" si="2"/>
        <v>29</v>
      </c>
      <c r="H130" s="13">
        <f t="shared" ref="H130" si="3">COUNTIF(H2:H128,"N")</f>
        <v>81</v>
      </c>
      <c r="I130" s="13">
        <f>COUNTIF(I2:I128,"=N")</f>
        <v>110</v>
      </c>
      <c r="J130" s="13">
        <f t="shared" si="2"/>
        <v>95</v>
      </c>
    </row>
    <row r="131" spans="1:10" ht="15.5" x14ac:dyDescent="0.35">
      <c r="A131" s="13"/>
      <c r="B131" s="13"/>
      <c r="C131" s="13" t="s">
        <v>180</v>
      </c>
      <c r="D131" s="13">
        <f>D129+D130</f>
        <v>126</v>
      </c>
      <c r="E131" s="13">
        <f t="shared" ref="E131:J131" si="4">E129+E130</f>
        <v>126</v>
      </c>
      <c r="F131" s="13">
        <f t="shared" si="4"/>
        <v>126</v>
      </c>
      <c r="G131" s="13">
        <f t="shared" si="4"/>
        <v>126</v>
      </c>
      <c r="H131" s="13">
        <f t="shared" si="4"/>
        <v>126</v>
      </c>
      <c r="I131" s="13">
        <f>I129+I130</f>
        <v>125</v>
      </c>
      <c r="J131" s="13">
        <f t="shared" si="4"/>
        <v>125</v>
      </c>
    </row>
  </sheetData>
  <conditionalFormatting sqref="D2:J128">
    <cfRule type="containsText" dxfId="1" priority="1" operator="containsText" text="N">
      <formula>NOT(ISERROR(SEARCH("N",D2)))</formula>
    </cfRule>
    <cfRule type="containsText" dxfId="0" priority="2" operator="containsText" text="Y">
      <formula>NOT(ISERROR(SEARCH("Y",D2)))</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A95F7-D4FC-417E-B912-65EE7E0EDB93}">
  <dimension ref="A1:H16"/>
  <sheetViews>
    <sheetView zoomScaleNormal="100" workbookViewId="0"/>
  </sheetViews>
  <sheetFormatPr defaultRowHeight="15.5" x14ac:dyDescent="0.35"/>
  <cols>
    <col min="1" max="1" width="10.90625" style="12" customWidth="1"/>
    <col min="2" max="2" width="49.1796875" style="12" customWidth="1"/>
    <col min="3" max="3" width="6.81640625" style="12" customWidth="1"/>
    <col min="4" max="4" width="30.81640625" style="12" customWidth="1"/>
    <col min="5" max="5" width="18.26953125" style="12" customWidth="1"/>
    <col min="6" max="6" width="18.1796875" style="12" customWidth="1"/>
    <col min="7" max="7" width="17.453125" style="12" customWidth="1"/>
    <col min="8" max="8" width="140.36328125" style="12" customWidth="1"/>
    <col min="9" max="16384" width="8.7265625" style="12"/>
  </cols>
  <sheetData>
    <row r="1" spans="1:8" s="17" customFormat="1" ht="30" x14ac:dyDescent="0.3">
      <c r="A1" s="15" t="s">
        <v>127</v>
      </c>
      <c r="B1" s="15" t="s">
        <v>0</v>
      </c>
      <c r="C1" s="15" t="s">
        <v>1</v>
      </c>
      <c r="D1" s="15" t="s">
        <v>199</v>
      </c>
      <c r="E1" s="15" t="s">
        <v>200</v>
      </c>
      <c r="F1" s="15" t="s">
        <v>201</v>
      </c>
      <c r="G1" s="15" t="s">
        <v>202</v>
      </c>
      <c r="H1" s="15" t="s">
        <v>203</v>
      </c>
    </row>
    <row r="2" spans="1:8" ht="77.5" x14ac:dyDescent="0.35">
      <c r="A2" s="3">
        <v>22908215</v>
      </c>
      <c r="B2" s="3" t="s">
        <v>76</v>
      </c>
      <c r="C2" s="3">
        <v>2012</v>
      </c>
      <c r="D2" s="18" t="s">
        <v>142</v>
      </c>
      <c r="E2" s="3" t="s">
        <v>135</v>
      </c>
      <c r="F2" s="3" t="s">
        <v>136</v>
      </c>
      <c r="G2" s="3" t="s">
        <v>137</v>
      </c>
      <c r="H2" s="3" t="s">
        <v>174</v>
      </c>
    </row>
    <row r="3" spans="1:8" ht="77.5" x14ac:dyDescent="0.35">
      <c r="A3" s="3">
        <v>24408680</v>
      </c>
      <c r="B3" s="3" t="s">
        <v>12</v>
      </c>
      <c r="C3" s="3">
        <v>2014</v>
      </c>
      <c r="D3" s="3" t="s">
        <v>138</v>
      </c>
      <c r="E3" s="3" t="s">
        <v>140</v>
      </c>
      <c r="F3" s="3" t="s">
        <v>139</v>
      </c>
      <c r="G3" s="3" t="s">
        <v>141</v>
      </c>
      <c r="H3" s="3" t="s">
        <v>175</v>
      </c>
    </row>
    <row r="4" spans="1:8" ht="93" x14ac:dyDescent="0.35">
      <c r="A4" s="3">
        <v>37848413</v>
      </c>
      <c r="B4" s="3" t="s">
        <v>21</v>
      </c>
      <c r="C4" s="3">
        <v>2023</v>
      </c>
      <c r="D4" s="18" t="s">
        <v>143</v>
      </c>
      <c r="E4" s="3" t="s">
        <v>144</v>
      </c>
      <c r="F4" s="3" t="s">
        <v>185</v>
      </c>
      <c r="G4" s="3" t="s">
        <v>150</v>
      </c>
      <c r="H4" s="3" t="s">
        <v>176</v>
      </c>
    </row>
    <row r="5" spans="1:8" ht="77.5" x14ac:dyDescent="0.35">
      <c r="A5" s="3">
        <v>27213017</v>
      </c>
      <c r="B5" s="3" t="s">
        <v>26</v>
      </c>
      <c r="C5" s="3">
        <v>2016</v>
      </c>
      <c r="D5" s="18" t="s">
        <v>145</v>
      </c>
      <c r="E5" s="3" t="s">
        <v>191</v>
      </c>
      <c r="F5" s="3" t="s">
        <v>192</v>
      </c>
      <c r="G5" s="3" t="s">
        <v>158</v>
      </c>
      <c r="H5" s="3" t="s">
        <v>177</v>
      </c>
    </row>
    <row r="6" spans="1:8" ht="77.5" x14ac:dyDescent="0.35">
      <c r="A6" s="3">
        <v>15983418</v>
      </c>
      <c r="B6" s="1" t="s">
        <v>84</v>
      </c>
      <c r="C6" s="3">
        <v>2005</v>
      </c>
      <c r="D6" s="3" t="s">
        <v>171</v>
      </c>
      <c r="E6" s="3" t="s">
        <v>193</v>
      </c>
      <c r="F6" s="3" t="s">
        <v>193</v>
      </c>
      <c r="G6" s="3" t="s">
        <v>158</v>
      </c>
      <c r="H6" s="3" t="s">
        <v>186</v>
      </c>
    </row>
    <row r="7" spans="1:8" ht="62" x14ac:dyDescent="0.35">
      <c r="A7" s="3">
        <v>38510163</v>
      </c>
      <c r="B7" s="3" t="s">
        <v>28</v>
      </c>
      <c r="C7" s="3">
        <v>2023</v>
      </c>
      <c r="D7" s="18" t="s">
        <v>146</v>
      </c>
      <c r="E7" s="3" t="s">
        <v>191</v>
      </c>
      <c r="F7" s="3" t="s">
        <v>184</v>
      </c>
      <c r="G7" s="3" t="s">
        <v>183</v>
      </c>
      <c r="H7" s="3" t="s">
        <v>187</v>
      </c>
    </row>
    <row r="8" spans="1:8" ht="77.5" x14ac:dyDescent="0.35">
      <c r="A8" s="3">
        <v>30811390</v>
      </c>
      <c r="B8" s="3" t="s">
        <v>34</v>
      </c>
      <c r="C8" s="3">
        <v>2019</v>
      </c>
      <c r="D8" s="18" t="s">
        <v>147</v>
      </c>
      <c r="E8" s="3" t="s">
        <v>194</v>
      </c>
      <c r="F8" s="3" t="s">
        <v>185</v>
      </c>
      <c r="G8" s="3" t="s">
        <v>155</v>
      </c>
      <c r="H8" s="3" t="s">
        <v>188</v>
      </c>
    </row>
    <row r="9" spans="1:8" ht="77.5" x14ac:dyDescent="0.35">
      <c r="A9" s="3">
        <v>17430564</v>
      </c>
      <c r="B9" s="3" t="s">
        <v>38</v>
      </c>
      <c r="C9" s="3">
        <v>2007</v>
      </c>
      <c r="D9" s="3" t="s">
        <v>171</v>
      </c>
      <c r="E9" s="3" t="s">
        <v>148</v>
      </c>
      <c r="F9" s="3" t="s">
        <v>149</v>
      </c>
      <c r="G9" s="3" t="s">
        <v>150</v>
      </c>
      <c r="H9" s="3" t="s">
        <v>161</v>
      </c>
    </row>
    <row r="10" spans="1:8" ht="77.5" x14ac:dyDescent="0.35">
      <c r="A10" s="3">
        <v>37730936</v>
      </c>
      <c r="B10" s="3" t="s">
        <v>197</v>
      </c>
      <c r="C10" s="3">
        <v>2023</v>
      </c>
      <c r="D10" s="3" t="s">
        <v>138</v>
      </c>
      <c r="E10" s="3" t="s">
        <v>195</v>
      </c>
      <c r="F10" s="3" t="s">
        <v>189</v>
      </c>
      <c r="G10" s="3" t="s">
        <v>158</v>
      </c>
      <c r="H10" s="3" t="s">
        <v>190</v>
      </c>
    </row>
    <row r="11" spans="1:8" ht="77.5" x14ac:dyDescent="0.35">
      <c r="A11" s="3">
        <v>21477364</v>
      </c>
      <c r="B11" s="3" t="s">
        <v>35</v>
      </c>
      <c r="C11" s="3">
        <v>2011</v>
      </c>
      <c r="D11" s="18" t="s">
        <v>169</v>
      </c>
      <c r="E11" s="3" t="s">
        <v>168</v>
      </c>
      <c r="F11" s="3" t="s">
        <v>151</v>
      </c>
      <c r="G11" s="3" t="s">
        <v>150</v>
      </c>
      <c r="H11" s="3" t="s">
        <v>162</v>
      </c>
    </row>
    <row r="12" spans="1:8" ht="93" x14ac:dyDescent="0.35">
      <c r="A12" s="3">
        <v>27896971</v>
      </c>
      <c r="B12" s="3" t="s">
        <v>47</v>
      </c>
      <c r="C12" s="3">
        <v>2017</v>
      </c>
      <c r="D12" s="18" t="s">
        <v>170</v>
      </c>
      <c r="E12" s="3" t="s">
        <v>152</v>
      </c>
      <c r="F12" s="3" t="s">
        <v>153</v>
      </c>
      <c r="G12" s="3" t="s">
        <v>154</v>
      </c>
      <c r="H12" s="3" t="s">
        <v>163</v>
      </c>
    </row>
    <row r="13" spans="1:8" ht="108.5" x14ac:dyDescent="0.35">
      <c r="A13" s="3">
        <v>21278189</v>
      </c>
      <c r="B13" s="3" t="s">
        <v>101</v>
      </c>
      <c r="C13" s="3">
        <v>2011</v>
      </c>
      <c r="D13" s="3" t="s">
        <v>171</v>
      </c>
      <c r="E13" s="3" t="s">
        <v>191</v>
      </c>
      <c r="F13" s="3" t="s">
        <v>149</v>
      </c>
      <c r="G13" s="3" t="s">
        <v>155</v>
      </c>
      <c r="H13" s="3" t="s">
        <v>164</v>
      </c>
    </row>
    <row r="14" spans="1:8" ht="93" x14ac:dyDescent="0.35">
      <c r="A14" s="3">
        <v>28381997</v>
      </c>
      <c r="B14" s="3" t="s">
        <v>57</v>
      </c>
      <c r="C14" s="3">
        <v>2017</v>
      </c>
      <c r="D14" s="18" t="s">
        <v>172</v>
      </c>
      <c r="E14" s="3" t="s">
        <v>156</v>
      </c>
      <c r="F14" s="3" t="s">
        <v>157</v>
      </c>
      <c r="G14" s="3" t="s">
        <v>158</v>
      </c>
      <c r="H14" s="3" t="s">
        <v>165</v>
      </c>
    </row>
    <row r="15" spans="1:8" ht="93" x14ac:dyDescent="0.35">
      <c r="A15" s="3">
        <v>25870169</v>
      </c>
      <c r="B15" s="3" t="s">
        <v>70</v>
      </c>
      <c r="C15" s="3">
        <v>2016</v>
      </c>
      <c r="D15" s="3" t="s">
        <v>138</v>
      </c>
      <c r="E15" s="3" t="s">
        <v>196</v>
      </c>
      <c r="F15" s="3" t="s">
        <v>149</v>
      </c>
      <c r="G15" s="3" t="s">
        <v>159</v>
      </c>
      <c r="H15" s="3" t="s">
        <v>166</v>
      </c>
    </row>
    <row r="16" spans="1:8" ht="93" x14ac:dyDescent="0.35">
      <c r="A16" s="3">
        <v>18337261</v>
      </c>
      <c r="B16" s="3" t="s">
        <v>117</v>
      </c>
      <c r="C16" s="3">
        <v>2008</v>
      </c>
      <c r="D16" s="18" t="s">
        <v>173</v>
      </c>
      <c r="E16" s="3" t="s">
        <v>160</v>
      </c>
      <c r="F16" s="3" t="s">
        <v>149</v>
      </c>
      <c r="G16" s="3" t="s">
        <v>159</v>
      </c>
      <c r="H16" s="3" t="s">
        <v>167</v>
      </c>
    </row>
  </sheetData>
  <hyperlinks>
    <hyperlink ref="D2" r:id="rId1" xr:uid="{8215E8C8-1DFC-4C0D-A891-E3F8ED33C339}"/>
    <hyperlink ref="D4" r:id="rId2" xr:uid="{834BBC47-BE9B-49EF-B4D8-7BB914039042}"/>
    <hyperlink ref="D5" r:id="rId3" xr:uid="{AD9C87DE-2DF8-4AB5-B439-E9329AB4E8CE}"/>
    <hyperlink ref="D7" r:id="rId4" xr:uid="{CBA24310-12D5-447F-BC31-C5B2DDFB6A89}"/>
    <hyperlink ref="D8" r:id="rId5" xr:uid="{BD7484E9-9DEE-4F95-92B9-2E4A682D18F0}"/>
    <hyperlink ref="D11" r:id="rId6" xr:uid="{961CE6D8-CF10-4BB2-8C02-7BECF8A888F8}"/>
    <hyperlink ref="D12" r:id="rId7" xr:uid="{B21195A4-914B-4B19-A831-25E996A2B24C}"/>
    <hyperlink ref="D14" r:id="rId8" xr:uid="{7BC09A85-E25E-4821-8256-73DB4E300586}"/>
    <hyperlink ref="D16" r:id="rId9" xr:uid="{38B7F31F-C9B4-408F-AA90-A8C1D314B3F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E696-CADC-4ECA-A308-8FEDB12D3B25}">
  <dimension ref="A1:B31"/>
  <sheetViews>
    <sheetView workbookViewId="0">
      <selection activeCell="B7" sqref="B7"/>
    </sheetView>
  </sheetViews>
  <sheetFormatPr defaultColWidth="73.54296875" defaultRowHeight="14.5" x14ac:dyDescent="0.35"/>
  <cols>
    <col min="1" max="1" width="12.81640625" style="19" customWidth="1"/>
    <col min="2" max="2" width="80.1796875" style="19" customWidth="1"/>
    <col min="3" max="16384" width="73.54296875" style="19"/>
  </cols>
  <sheetData>
    <row r="1" spans="1:2" s="16" customFormat="1" ht="15.5" x14ac:dyDescent="0.35">
      <c r="A1" s="15" t="s">
        <v>127</v>
      </c>
      <c r="B1" s="15" t="s">
        <v>0</v>
      </c>
    </row>
    <row r="2" spans="1:2" ht="15.5" x14ac:dyDescent="0.35">
      <c r="A2" s="3">
        <v>34643507</v>
      </c>
      <c r="B2" s="3" t="s">
        <v>10</v>
      </c>
    </row>
    <row r="3" spans="1:2" ht="15.5" x14ac:dyDescent="0.35">
      <c r="A3" s="3">
        <v>38052452</v>
      </c>
      <c r="B3" s="3" t="s">
        <v>11</v>
      </c>
    </row>
    <row r="4" spans="1:2" ht="31" x14ac:dyDescent="0.35">
      <c r="A4" s="3">
        <v>38213704</v>
      </c>
      <c r="B4" s="3" t="s">
        <v>13</v>
      </c>
    </row>
    <row r="5" spans="1:2" ht="31" x14ac:dyDescent="0.35">
      <c r="A5" s="3">
        <v>37447786</v>
      </c>
      <c r="B5" s="3" t="s">
        <v>14</v>
      </c>
    </row>
    <row r="6" spans="1:2" ht="31" x14ac:dyDescent="0.35">
      <c r="A6" s="3">
        <v>35660516</v>
      </c>
      <c r="B6" s="3" t="s">
        <v>18</v>
      </c>
    </row>
    <row r="7" spans="1:2" ht="15.5" x14ac:dyDescent="0.35">
      <c r="A7" s="3">
        <v>30786165</v>
      </c>
      <c r="B7" s="3" t="s">
        <v>22</v>
      </c>
    </row>
    <row r="8" spans="1:2" ht="31" x14ac:dyDescent="0.35">
      <c r="A8" s="3">
        <v>35922700</v>
      </c>
      <c r="B8" s="3" t="s">
        <v>24</v>
      </c>
    </row>
    <row r="9" spans="1:2" ht="31" x14ac:dyDescent="0.35">
      <c r="A9" s="3">
        <v>33950394</v>
      </c>
      <c r="B9" s="1" t="s">
        <v>81</v>
      </c>
    </row>
    <row r="10" spans="1:2" ht="31" x14ac:dyDescent="0.35">
      <c r="A10" s="3">
        <v>31131402</v>
      </c>
      <c r="B10" s="3" t="s">
        <v>32</v>
      </c>
    </row>
    <row r="11" spans="1:2" ht="31" x14ac:dyDescent="0.35">
      <c r="A11" s="3">
        <v>40950129</v>
      </c>
      <c r="B11" s="3" t="s">
        <v>44</v>
      </c>
    </row>
    <row r="12" spans="1:2" ht="15.5" x14ac:dyDescent="0.35">
      <c r="A12" s="3">
        <v>34013039</v>
      </c>
      <c r="B12" s="3" t="s">
        <v>29</v>
      </c>
    </row>
    <row r="13" spans="1:2" ht="15.5" x14ac:dyDescent="0.35">
      <c r="A13" s="3">
        <v>25471934</v>
      </c>
      <c r="B13" s="3" t="s">
        <v>40</v>
      </c>
    </row>
    <row r="14" spans="1:2" ht="31" x14ac:dyDescent="0.35">
      <c r="A14" s="3">
        <v>32294771</v>
      </c>
      <c r="B14" s="3" t="s">
        <v>45</v>
      </c>
    </row>
    <row r="15" spans="1:2" ht="31" x14ac:dyDescent="0.35">
      <c r="A15" s="3">
        <v>23473722</v>
      </c>
      <c r="B15" s="7" t="s">
        <v>90</v>
      </c>
    </row>
    <row r="16" spans="1:2" ht="31" x14ac:dyDescent="0.35">
      <c r="A16" s="3">
        <v>24651862</v>
      </c>
      <c r="B16" s="20" t="s">
        <v>92</v>
      </c>
    </row>
    <row r="17" spans="1:2" ht="46.5" x14ac:dyDescent="0.35">
      <c r="A17" s="3">
        <v>30252445</v>
      </c>
      <c r="B17" s="3" t="s">
        <v>94</v>
      </c>
    </row>
    <row r="18" spans="1:2" ht="46.5" x14ac:dyDescent="0.35">
      <c r="A18" s="3">
        <v>25604327</v>
      </c>
      <c r="B18" s="3" t="s">
        <v>97</v>
      </c>
    </row>
    <row r="19" spans="1:2" ht="31" x14ac:dyDescent="0.35">
      <c r="A19" s="3">
        <v>40631125</v>
      </c>
      <c r="B19" s="3" t="s">
        <v>54</v>
      </c>
    </row>
    <row r="20" spans="1:2" ht="46.5" x14ac:dyDescent="0.35">
      <c r="A20" s="3">
        <v>37762547</v>
      </c>
      <c r="B20" s="3" t="s">
        <v>53</v>
      </c>
    </row>
    <row r="21" spans="1:2" ht="31" x14ac:dyDescent="0.35">
      <c r="A21" s="3">
        <v>23612443</v>
      </c>
      <c r="B21" s="3" t="s">
        <v>51</v>
      </c>
    </row>
    <row r="22" spans="1:2" ht="46.5" x14ac:dyDescent="0.35">
      <c r="A22" s="3">
        <v>28232853</v>
      </c>
      <c r="B22" s="3" t="s">
        <v>104</v>
      </c>
    </row>
    <row r="23" spans="1:2" ht="15.5" x14ac:dyDescent="0.35">
      <c r="A23" s="3">
        <v>19500956</v>
      </c>
      <c r="B23" s="3" t="s">
        <v>108</v>
      </c>
    </row>
    <row r="24" spans="1:2" ht="31" x14ac:dyDescent="0.35">
      <c r="A24" s="3">
        <v>17291828</v>
      </c>
      <c r="B24" s="3" t="s">
        <v>109</v>
      </c>
    </row>
    <row r="25" spans="1:2" ht="15.5" x14ac:dyDescent="0.35">
      <c r="A25" s="3">
        <v>28479932</v>
      </c>
      <c r="B25" s="3" t="s">
        <v>69</v>
      </c>
    </row>
    <row r="26" spans="1:2" ht="31" x14ac:dyDescent="0.35">
      <c r="A26" s="3">
        <v>21788681</v>
      </c>
      <c r="B26" s="3" t="s">
        <v>71</v>
      </c>
    </row>
    <row r="27" spans="1:2" ht="15.5" x14ac:dyDescent="0.35">
      <c r="A27" s="3">
        <v>20346188</v>
      </c>
      <c r="B27" s="3" t="s">
        <v>68</v>
      </c>
    </row>
    <row r="28" spans="1:2" ht="15.5" x14ac:dyDescent="0.35">
      <c r="A28" s="3">
        <v>16087095</v>
      </c>
      <c r="B28" s="3" t="s">
        <v>113</v>
      </c>
    </row>
    <row r="29" spans="1:2" ht="46.5" x14ac:dyDescent="0.35">
      <c r="A29" s="3">
        <v>16531352</v>
      </c>
      <c r="B29" s="3" t="s">
        <v>119</v>
      </c>
    </row>
    <row r="30" spans="1:2" ht="31" x14ac:dyDescent="0.35">
      <c r="A30" s="3">
        <v>27006915</v>
      </c>
      <c r="B30" s="3" t="s">
        <v>74</v>
      </c>
    </row>
    <row r="31" spans="1:2" ht="31" x14ac:dyDescent="0.35">
      <c r="A31" s="3">
        <v>41268369</v>
      </c>
      <c r="B31" s="3"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Screening</vt:lpstr>
      <vt:lpstr>Engines</vt:lpstr>
      <vt:lpstr>Applications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Nurhaliza Mohamed Ali</dc:creator>
  <cp:lastModifiedBy>M L</cp:lastModifiedBy>
  <dcterms:created xsi:type="dcterms:W3CDTF">2025-11-07T13:55:10Z</dcterms:created>
  <dcterms:modified xsi:type="dcterms:W3CDTF">2026-08-28T10:46:36Z</dcterms:modified>
</cp:coreProperties>
</file>