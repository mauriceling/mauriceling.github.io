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aymondxxl\Desktop\MDIS\Dissertation\Dissertation (FINAL)\"/>
    </mc:Choice>
  </mc:AlternateContent>
  <xr:revisionPtr revIDLastSave="0" documentId="13_ncr:1_{ADC22C31-4451-4DA3-B32D-28811A233E1B}" xr6:coauthVersionLast="47" xr6:coauthVersionMax="47" xr10:uidLastSave="{00000000-0000-0000-0000-000000000000}"/>
  <bookViews>
    <workbookView xWindow="-110" yWindow="-110" windowWidth="19420" windowHeight="11500" xr2:uid="{00000000-000D-0000-FFFF-FFFF00000000}"/>
  </bookViews>
  <sheets>
    <sheet name="Article Screening" sheetId="1" r:id="rId1"/>
    <sheet name="Themes" sheetId="2" r:id="rId2"/>
    <sheet name="Cell-Only Exclusions" sheetId="3" r:id="rId3"/>
  </sheets>
  <definedNames>
    <definedName name="_xlnm._FilterDatabase" localSheetId="0" hidden="1">'Article Screening'!$A$2:$P$203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6" i="1" l="1"/>
  <c r="K205" i="1"/>
  <c r="J207" i="1"/>
  <c r="J206" i="1"/>
  <c r="J205" i="1"/>
  <c r="N205" i="1"/>
  <c r="H207" i="1"/>
  <c r="F207" i="1"/>
  <c r="E207" i="1"/>
  <c r="D207" i="1"/>
  <c r="H206" i="1"/>
  <c r="F206" i="1"/>
  <c r="E206" i="1"/>
  <c r="D206" i="1"/>
  <c r="H205" i="1"/>
  <c r="F205" i="1"/>
  <c r="E205" i="1"/>
  <c r="D205" i="1"/>
  <c r="J209" i="1" l="1"/>
  <c r="D209" i="1"/>
  <c r="E209" i="1"/>
  <c r="H209" i="1"/>
  <c r="F209" i="1"/>
  <c r="N209" i="1"/>
</calcChain>
</file>

<file path=xl/sharedStrings.xml><?xml version="1.0" encoding="utf-8"?>
<sst xmlns="http://schemas.openxmlformats.org/spreadsheetml/2006/main" count="3127" uniqueCount="1123">
  <si>
    <t>S/N</t>
  </si>
  <si>
    <t>Article</t>
  </si>
  <si>
    <t>Published Year</t>
  </si>
  <si>
    <t>Aim of Study</t>
  </si>
  <si>
    <t>Study Design</t>
  </si>
  <si>
    <t>Population / Subjects</t>
  </si>
  <si>
    <t>Subject Condition(s) / Criteria(s)</t>
  </si>
  <si>
    <t>Sample Size</t>
  </si>
  <si>
    <t>Cinnamon Species</t>
  </si>
  <si>
    <t>Cinnamon Form &amp; Dose</t>
  </si>
  <si>
    <t>Health Outcome Measured</t>
  </si>
  <si>
    <t>Theme</t>
  </si>
  <si>
    <t>Specific Quantitative Findings</t>
  </si>
  <si>
    <t>Outcome</t>
  </si>
  <si>
    <t>Statistically Significance</t>
  </si>
  <si>
    <t>Safety / Adverse Effect</t>
  </si>
  <si>
    <t>Strengths in Study</t>
  </si>
  <si>
    <t>Limitations in Study</t>
  </si>
  <si>
    <t>Remarks</t>
  </si>
  <si>
    <t>The Effect of Therapeutic Doses of Culinary Spices in Metabolic Syndrome: A Randomized Controlled Trial</t>
  </si>
  <si>
    <t>To evaluate the effects of ginger (Zingiber officinale), cinnamon (Cinnamomum), and black seed (Nigella sativa) powders on Fasting Blood Glucose (FBG), hemoglobin (Hb) levels, glycated hemoglobin (HbA1c) levels, blood pressure, the blood lipid profile, and waist circumference (WC) among participants at risk for CVD.</t>
  </si>
  <si>
    <t>Controlled, randomized, single-blind, parallel-design study.</t>
  </si>
  <si>
    <t>Human
(18 to 50 yrs old)</t>
  </si>
  <si>
    <t>Adults with or at risk of metabolic syndrome.</t>
  </si>
  <si>
    <t>n=120 
(30 per group: cinnamon n=30, ginger n=30, black seed n=30, placebo n=30); 97 completed 12-week intervention</t>
  </si>
  <si>
    <t>Cinnamomum (species unspecified)</t>
  </si>
  <si>
    <t>3 g/day cinnamon powder for 12 weeks</t>
  </si>
  <si>
    <t>Waist circumference, blood pressure, fasting blood glucose, lipid profile (TC, LDL, HDL, TG), inflammatory markers.</t>
  </si>
  <si>
    <t>Cardiovascular/Metabolic Health</t>
  </si>
  <si>
    <t>Cinnamon group: 
• HbA1c reduced from 6.45 ± 1.83% to 5.852 ± 0.231% (p&lt;0.001, SMD = -0.71, 95% CI -1.02 to -0.40). 
• Fasting glucose decreased by -1.27 mg/dL (p≤0.001). 
• Total cholesterol decreased by -2.142 mg/dL (p&lt;0.001). 
• LDL-C decreased by 3.421 mg/dL (p&lt;0.001). 
• HDL-C increased by 7.76 mg/dL (p=0.2, NS). 
• Triglycerides decreased by -4.317 mg/dL (NS). 
• Waist circumference decreased by -7.132 cm (p=0.051, borderline). 
• No significant changes in systolic BP, diastolic BP, or weight.</t>
  </si>
  <si>
    <t>Mixed - Mostly positive</t>
  </si>
  <si>
    <t>p&lt;0.001 for HbA1c, fasting glucose, total cholesterol, LDL-C; 
p=0.051 for waist circumference
NS for HDL, triglycerides, BP, weight</t>
  </si>
  <si>
    <t>None reported</t>
  </si>
  <si>
    <t>1) Direct human applicability: The research was conducted on human subjects—comprising both men and women across different adult ages—rather than animal models, meaning the results directly reflect human physiological responses
2) Strict control of lifestyle variables: The researchers closely monitored participants' dietary intake and physical activity levels, requiring them to maintain their baseline habits throughout the 12-week trial. This helps ensure that any observed health changes were isolated to the spice interventions rather than lifestyle shifts.
3) Precise measurement tools: 
The study utilized highly accurate and efficient methods to monitor body composition changes, specifically employing Dual X-ray Absorptiometry (DXA) scans and InBody analyzers</t>
  </si>
  <si>
    <t>1) Self-reporting inaccuracies: 
Participants lacked familiarity with food portion sizes, which made it difficult for them to accurately fill out their food diaries and required researchers to provide repeated explanations. Similarly, subjects frequently under- or overestimated their physical activity levels on the questionnaires.
2) Imperfect adherence: 
Not all participants strictly adhered 100% to consuming the required daily doses of the spice treatments.
3) Atypical age demographic: The study cohort was relatively young for evaluating Metabolic Syndrome (MetS), a condition that is significantly more prevalent in middle-aged populations. The authors acknowledge that the spice interventions might be less effective in older adults, which slightly limits the generalizability of the findings.</t>
  </si>
  <si>
    <t>During the study period, participants were asked to bring
the remaining spice powder to each visit. The amount left was calculated to make sure that the participants had consumed 80% of the total amount or more. Those who consumed less than 80% of the treatment powder were excluded.</t>
  </si>
  <si>
    <t>Effect of cinnamon, cardamom, saffron and ginger consumption on blood pressure and a marker of endothelial function in patients with type 2 diabetes mellitus: A randomized controlled clinical trial</t>
  </si>
  <si>
    <t>This study aimed to
determine the effect of herbal treatment on BP, endothelial function and anthropometric measures in patients with type 2 diabetes mellitus (T2DM).</t>
  </si>
  <si>
    <t>Parallel, randomized, single-blind placebocontrolled
clinical trial</t>
  </si>
  <si>
    <t>Human</t>
  </si>
  <si>
    <t>Type 2 Diabetes</t>
  </si>
  <si>
    <t>n=204 (40 cinnamon, 42 cardamom, 42 saffron, 41 ginger, 39 control)</t>
  </si>
  <si>
    <t>Cinnamomum verum</t>
  </si>
  <si>
    <t>3g daily cinnamon in 3 glasses of black tea for 8 weeks</t>
  </si>
  <si>
    <t>Blood pressure; endothelial function markers; likely also metabolic markers</t>
  </si>
  <si>
    <t>Cinnamon group: sICAM-1 baseline 340.9±14.4 ng/ml → post 339.69±14.4 ng/ml (p=0.01 within-group). 
No significant between-group differences for cinnamon compared to control. Saffron and ginger showed significant within-group effects on sICAM-1 and systolic BP.</t>
  </si>
  <si>
    <t>Negative – No Between-Group Effect</t>
  </si>
  <si>
    <t>Cinnamon within-group p=0.01 (NS between-groups); no significant between-group effect vs. control</t>
  </si>
  <si>
    <t>1) Methodological Design: The study utilized a prospective design with a control group, allowing researchers to distinguish whether the outcomes were due to the herbal interventions or simply the participants' usual diets.
2) Large Sample Size: It featured a large sample size and good participant follow-up compared to other studies focusing on herbal medicines.
3) Control of Confounders: 
The researchers strictly controlled for confounding variables by monitoring physical activity levels (using the IPAQ questionnaire) and dietary patterns (using 5-day food records) throughout the 8-week intervention.
4) Standardization Period: 
A 3-week "run-in" period was implemented before the trial began to ensure all participants had similar tea consumption patterns
.</t>
  </si>
  <si>
    <t>1) Unknown Bioavailability: Because the herbs were consumed with tea and specific biological markers were not measured in the blood, the exact bioavailability of the consumed herbs remains unknown.
2) Self-Reporting Tools: 
The study relied on food records, which are often inaccurate and unlikely to represent true usual dietary intake
3) Study Design Constraints: 
The trial was single-blind rather than double-blind, and there were some significant differences in baseline characteristics (such as age and weight) between the groups at the start of the study.
4) Short Duration: 
The 8-week duration might not have been long enough to capture the full benefits, as herbal medicines generally have much weaker and slower effects compared to chemical medications
5) Older Demographic: 
The study participants were relatively old. Because older individuals naturally possess higher levels of biomarkers associated with tight blood vessels and elevated blood pressure, they may be more resistant to the effects of herbal treatments than younger adults would be.
6) Potential for Errors: 
As with many clinical trials, there was a general probability of laboratory and measurement errors</t>
  </si>
  <si>
    <t>Endothelial Function: The researchers did not find any significant effect of cinnamon on serum sICAM-1 concentrations, meaning it did not demonstrably improve this marker of endothelial function.
Blood Pressure: The cinnamon intervention failed to significantly reduce either systolic or diastolic blood pressure.
Anthropometric Measures: The study did not find any significant effects of cinnamon on body measurements such as BMI or waist circumference. While there was a slight trend toward weight reduction in the cinnamon group (from 75.62 kg to 75.32 kg), this change was only marginally significant (p=0.07) and did not meet the standard threshold for statistical significance.
In conclusion, the consumption of cinnamon as a supplementary remedy did not have a significant influence on endothelial function or blood pressure.</t>
  </si>
  <si>
    <t>The Effect of Cinnamon Extract and Long-Term Aerobic Training on Heart Function, Biochemical Alterations and Lipid Profile Following Exhaustive Exercise in Male Rats</t>
  </si>
  <si>
    <t>The primary aim of this study was to investigate the concomitant (combined) effects of cinnamon bark extract supplementation and long-term regular aerobic training on the cardiovascular system following exhaustive exercise in male rats.</t>
  </si>
  <si>
    <t>Animal experimental study (in vivo rat study). 5 groups, 8-week training and supplementation, ex vivo Langendorff isolated-heart assessment after exhaustive exercise.</t>
  </si>
  <si>
    <t>Animal – Wistar rat
(exhaustive exercise stress model)</t>
  </si>
  <si>
    <t>Animal model undergoing exhaustive aerobic exercise stress.</t>
  </si>
  <si>
    <t>n=30 male Wistar rats (8 weeks old, 250-300g), divided into 5 groups of 6 rats each</t>
  </si>
  <si>
    <t>Unspecified (cinnamon bark extract)</t>
  </si>
  <si>
    <t>200 mg/kg/day of cinnamon bark extract (methanolic 90% extract) by oral gavage for 8 weeks</t>
  </si>
  <si>
    <t>Cardiac hemodynamics (LVDP, dP/dt, heart rate, coronary flow); lipid profile (total cholesterol, LDL, HDL, VLDL, triglycerides); oxidative stress marker (MDA); enzymatic markers (CK, LDH)</t>
  </si>
  <si>
    <t>Significant Results:
Oxidative Stress: Pre-treatment with cinnamon significantly reduced malondialdehyde (MDA) levels compared to the exhausted control group (P&lt;0.01).
Lipid Profile: Cinnamon supplementation significantly decreased total cholesterol and LDL ("bad") cholesterol (P&lt;0.01 reported in text; P&lt;0.05 reported in data tables)
. Uniquely, cinnamon without exercise significantly increased VLDL levels (P&lt;0.05).
Cardiac Hemodynamics: Cinnamon alone significantly increased myocardial systolic pressure compared to the control (P&lt;0.05).
Synergistic Effects (Cinnamon + Training): The combination of cinnamon and regular aerobic training yielded significant additive benefits that cinnamon alone did not, including increased cardiac contractility (dP/dt) (P&lt;0.05), increased cardiac work index (P&lt;0.05), elevated HDL ("good") cholesterol (P&lt;0.05), and an improved HDL/LDL ratio (P&lt;0.05).
Non-Significant Results includes:
- Cellular Stress Enzymes: There were no statistically significant differences in the serum activities of Creatine Kinase (CK) or Lactate Dehydrogenase (LDH)
- Other Heart Metrics: Although cinnamon tended to reduce heart rate fluctuations and slightly increase coronary flow, these changes were not statistically significant.
- HDL (Cinnamon Alone): Supplementing with cinnamon without concurrent regular training did not significantly increase HDL cholesterol or the HDL/LDL ratio.
- Body Weight: There were no significant changes in body weight across the groups.</t>
  </si>
  <si>
    <t>Significantly Positive</t>
  </si>
  <si>
    <t>p&lt;0.05 for systolic pressure, LVDP; p&lt;0.01 for total cholesterol and LDL-C; p&lt;0.05 for MDA reduction</t>
  </si>
  <si>
    <t>1) Novel Research Design: 
It is the first study to investigate the concomitant (combined) effects of cinnamon supplementation alongside long-term regular aerobic training, which allowed the researchers to identify an "additive effect" between the two interventions.
2) Comprehensive Physiological Assessment: 
The study measured a wide array of health markers to get a holistic view of cardiovascular health. This included direct evaluations of myocardial hemodynamics (using a balloon-tipped catheter in an isolated heart model), cellular oxidative stress (MDA levels), and extensive blood lipid profiles. 
3) Strictly Controlled Parameters: 
By utilizing an animal model, the researchers were able to strictly control variables that are notoriously difficult to manage in human trials, such as exact diet, precise progressive treadmill training speed and duration, and a standardized cinnamon dose of 200 mg/kg/day.</t>
  </si>
  <si>
    <t>1) Animal Model Constraints: 
The research was conducted exclusively on rats, meaning these cardioprotective findings cannot be directly applied to humans without further clinical trials.
2) Gender Limitations: 
The study only used male Wistar rats, making it impossible to know whether the interventions would produce the same physiological effects or additive benefits in females.
3) Lack of Significance in Certain Markers: 
While successful in its primary aims, the cinnamon intervention failed to produce statistically significant improvements in body weight, baseline heart rate fluctuations, coronary flow, or cellular stress enzymes like Creatine Kinase (CK) and Lactate Dehydrogenase (LDH)
4) Single Dose Evaluation: 
The study only tested one specific dosage of cinnamon bark extract (200 mg/kg/day), so it does not establish a dose-response relationship to determine if different amounts would be more or less effective
.</t>
  </si>
  <si>
    <t>Long-term supplementation with cinnamon bark and regular aerobic training induced beneficial effects on the serum lipid profile and lipid peroxidation following a stressor-exhaustive exercise. In addition, pretreatment of rats with cinnamon and regular training improved cardiac hemodynamic and there is additive effect in the condition of concomitant administration of them.</t>
  </si>
  <si>
    <t>Anti-Obesity and Anti-Hyperglycemic Effects of Cinnamaldehyde via altered Ghrelin Secretion and Functional impact on Food Intake and Gastric Emptying</t>
  </si>
  <si>
    <t>The aim is to investigate whether transient receptor potential-ankyrin receptor 1 (TRPA1) agonists—specifically cinnamaldehyde (CIN), the main active flavor compound in cinnamon—affect food intake and gastric emptying by regulating the release of ghrelin (an appetite-stimulating hormone)</t>
  </si>
  <si>
    <t>Mixed pre-clinical study: in vivo mouse experiments (acute single-dose and 5-week chronic Diet-Induced Obese feeding), in vitro cell-line experiments (MGN3-1 ghrelin-producing line), and immunohistochemistry/in situ hybridisation.</t>
  </si>
  <si>
    <t>Animal — C57BL/6J mice (wild-type and TRPA1-/-); also in vitro mouse ghrelinoma cell line MGN3-1.</t>
  </si>
  <si>
    <t>Diet-induced obese (DIO) mice on 60%-fat HFD for chronic study; wild-type vs TRPA1-knockout mice for mechanistic studies; MGN3-1 ghrelin-producing cell line for in vitro work.</t>
  </si>
  <si>
    <t>n=33
(chronic DIO mice); n=25 (food intake study); n=12 (OGTT); n=6 (gastric emptying)</t>
  </si>
  <si>
    <t>C. cassia (cinnamaldehyde isolated compound)</t>
  </si>
  <si>
    <t>Pure cinnamaldehyde (CIN). Three regimens: (a) Acute single gavage of 250 mg/kg bw for food-intake and gastric-emptying tests; (b) 0.2% CIN incorporated into a 60% high-fat diet for 5 weeks (chronic obesity model); (c) In vitro: 100 µM CIN added to MGN3-1 ghrelinoma cells for 24 h.</t>
  </si>
  <si>
    <t>Obesity markers (adiposity), hyperglycemia (blood glucose), ghrelin secretion, food intake, gastric emptying</t>
  </si>
  <si>
    <t>Anti-obesity / Adipose Metabolism</t>
  </si>
  <si>
    <t>Fasting plasma glucose reduced: HFD control 8.42→7.54 mmol/L with cinnamaldehyde (p=0.03). OGTT glucose reduced by 21–29.8% at 15, 30, and 60 min post-load (p&lt;0.05). Body weight gain reduced from day 24 of treatment (p&lt;0.05). Plasma ghrelin reduced by 44% vs HFD control (p=0.005). Gastric emptying rate slowed (reduced postprandial glucose absorption). No hepatotoxicity observed.
1. In vitro Cellular Results (MGN3-1 Ghrelin-Producing Cells)
a) Ghrelin Secretion: Cinnamaldehyde (CIN) stimulation (100 µM) significantly decreased both octanoyl and total ghrelin secreted into the cell medium by 44% compared to control conditions (p &lt; 0.05 and p &lt; 0.01).  
b) Gene Expression: CIN significantly up-regulated the expression of TRPA1 and Insulin Receptor (InsR) genes (p &lt; 0.05).
2. Acute In vivo Results (Single 250 mg/kg dose in mice)
a) Food Intake: CIN caused a strong, significant reduction in cumulative food intake at the 2-hour mark after gavage (p &lt; 0.05).
b) Gastric Emptying: CIN significantly slowed gastric emptying. After 60 minutes, 19.2% of the fluorescent tracer remained in the stomach of the CIN-treated mice compared to only 4.6% in the control group (p &lt; 0.005).
3. Long-Term In vivo Results (5 weeks of 0.2% CIN diet in obese mice)
a) Body Weight Gain: CIN caused a significant reduction in cumulative body weight gain, starting specifically at day 24 of the treatment (p &lt; 0.05 and p &lt; 0.01).
b) Fasting Plasma Glucose: CIN significantly reduced fasting blood glucose by 10.6%, lowering it to 7.54 ± 0.25 mmol/L compared to 8.42 ± 0.30 mmol/L in the control group (p = 0.03).
c) Glucose Tolerance (OGTT): CIN-treated mice cleared glucose significantly faster, showing reductions in blood glucose levels of 21%, 29.8%, 25%, and 8.25% at the 15, 30, 60, and 120-minute marks, respectively (p &lt; 0.05 and p &lt; 0.01).
d) Adipose Gene Expression: CIN significantly up-regulated the ACSL4 enzyme in brown fat (p = 0.015).
e) In white fat, it significantly up-regulated multiple transporters and receptors: GLUT1 (p = 0.031), GLUT12 (p = 0.001), GLUT8 (p = 0.012), Cpt1a (p = 0.020), and Insulin receptor (p = 0.029).</t>
  </si>
  <si>
    <t>p&lt;0.05 for FPG, OGTT, body weight gain; p=0.005 for ghrelin reduction</t>
  </si>
  <si>
    <t>1) Isolated Active Ingredient: 
Unlike many studies that test whole cinnamon or polyherbal blends, this study tested pure cinnamaldehyde (the main active flavor compound in cinnamon), allowing the researchers to definitively isolate and attribute the health effects to this specific molecule. 
2) Comprehensive Experimental Design: 
The researchers utilized a robust mix of in vitro (ghrelin-producing stomach cells) and in vivo (acute and 5-week long-term mouse models) approaches to understand both immediate and chronic effects.
3) Mechanistic Proof: 
By testing genetically modified TRPA1 knockout mice alongside wild-type mice, the study successfully proved that the TRPA1 receptor is directly responsible for cinnamon's ability to delay gastric emptying.
Clinically Relevant Dosing: 
The animal dosage (250 mg/kg/day) was carefully calculated based on the established acceptable daily intake (ADI) for humans, utilizing a strict safety factor of 200 to account for cross-species differences
.</t>
  </si>
  <si>
    <t>1) Lack of Human Subjects: 
All findings are based on isolated cell lines and mouse models (including diet-induced obese mice). These physiological mechanisms and benefits must be confirmed in human clinical trials before direct application. 
2) Incomplete Receptor Understanding: 
During the in vitro cell tests, applying a TRPA1 inhibitor did not completely block cinnamaldehyde's effect on ghrelin secretion, leading the authors to hypothesize that another unknown receptor might also be involved.
3) Unclear Cause of Insulin Sensitivity: 
While the long-term treatment up-regulated several glucose transporters in white adipose tissue, the researchers could not definitively prove whether this up-regulation directly caused the improved insulin sensitivity or was merely a consequence of it.
4) Potential Chemical Oxidation: 
The authors note that cinnamaldehyde easily oxidizes into cinnamic acid (CNA). This raises the possibility that some of the observed long-term reductions in fat mass might actually be driven by CNA acting on different cellular pathways, rather than the cinnamaldehyde itself.</t>
  </si>
  <si>
    <t>Cinnamaldehyde (CIN) has strong potential to be used as a therapeutic anti-hyperglycemic drug and anti-obesity compound, particularly for the treatment of Type 2 diabetes.</t>
  </si>
  <si>
    <t>Effects of cinnamon supplementation on expression of systemic inflammation factors, NF-kB and Sirtuin-1 in type 2 diabetes: a randomized, double-blind, placebo-controlled clinical trial</t>
  </si>
  <si>
    <t>To evaluate the effect of daily supplementation of 3 g cinnamon on plasma levels of NF-kB, SIRT1, and systemic inflammation factors (hs-CRP, IL-6, TNF-α) among type 2 diabetes patients.</t>
  </si>
  <si>
    <t>Randomized, double-blind, placebo-controlled clinical trial (RCT). 8 weeks, parallel two-arm design.</t>
  </si>
  <si>
    <t>Type 2 diabetes mellitus, newly diagnosed, aged 25–70 years, BMI 18.5–30 kg/m², not on insulin therapy (on metformin/glibenclamide only).</t>
  </si>
  <si>
    <t>n=44 enrolled (22 intervention, 22 control); 39 completed (20 cinnamon, 19 placebo); mean age cinnamon 58.9±7.9 yrs, placebo 56.2±9.4 yrs; 38.4% male, 61.6% female.</t>
  </si>
  <si>
    <t>Unspecified (cinnamon extract in capsules)</t>
  </si>
  <si>
    <t>3 g/day cinnamon extract in capsules (1 g three times after each meal) versus microcrystalline cellulose placebo for 8 weeks</t>
  </si>
  <si>
    <t>Plasma NF-kB, Sirtuin-1 (SIRT1), high-sensitivity CRP (hs-CRP), IL-6, TNF-α measured by ELISA</t>
  </si>
  <si>
    <t>Antioxidant &amp; Anti-inflammatory</t>
  </si>
  <si>
    <t>Cinnamon group baseline → post-intervention:
• hs-CRP: 4392.80±3969.60 → 3139.45±2732.06 ng/ml (within-group p=0.22, NS)
• TNF-α: 28.72±35.52 → 28.88±26.97 pg/ml (within-group p=0.90, NS)
• IL-6: 6.08±2.40 → 5.68±1.33 pg/ml (within-group p=0.60, NS)
• NF-kB: 6.02±15.74 → 3.48±6.45 ng/ml (within-group p=0.69, NS; between-groups p=0.02)
• SIRT1: 5.54±6.96 → 6.16±12.13 ng/ml (within-group p=0.39, NS)
Significant between-group reduction only for NF-kB (p=0.02). Placebo group showed significant within-group hs-CRP decline (p=0.008).</t>
  </si>
  <si>
    <t>Mixed — Mostly Negative</t>
  </si>
  <si>
    <t>Only NF-kB showed significant between-group reduction (p=0.02). No significant between-group differences for hs-CRP (p=0.29), TNF-α (p=0.27), IL-6 (p=0.52), or SIRT1 (p=0.51). Within placebo group, hs-CRP declined significantly (p=0.008).</t>
  </si>
  <si>
    <t>1) Double-blind, placebo-controlled RCT with randomization and ethics approval (IRCT2016061128392N1). 2) Multiple inflammatory biomarkers assessed simultaneously by ELISA with defined sensitivities. 3) Targeted novel molecular endpoints (NF-kB, SIRT1) directly relevant to diabetes pathogenesis. 4) Participants maintained stable diet, activity, and medications throughout 8-week intervention.</t>
  </si>
  <si>
    <t>1) Small sample (n=44 enrolled, 39 completed) limits statistical power. 2) Cinnamon species unspecified; extract source/standardization not detailed; possible bioavailability issues. 3) 8-week duration may be insufficient to detect systemic inflammation changes in chronic disease. 4) Multiple inflammatory markers tested without multiplicity adjustment; single NF-kB significance may reflect chance. 5) Baseline hs-CRP showed trend toward difference (p=0.06), suggesting potential group imbalance.</t>
  </si>
  <si>
    <t>Despite mechanistic plausibility (cinnamon contains cinnamaldehyde, eugenol, terpenes with reported anti-inflammatory activity), this RCT found minimal systemic anti-inflammatory benefit in T2DM. NF-kB reduction (p=0.02) is noteworthy but isolated. Discrepancy with animal studies may reflect species differences or extract standardization issues. Authors suggest higher doses and longer duration needed.</t>
  </si>
  <si>
    <t>Turmeric, Pepper, Cinnamon, and Saffron Consumption and Mortality</t>
  </si>
  <si>
    <t>To evaluate the relationship between consumption of turmeric, black or chili pepper, cinnamon, and saffron with overall and cause-specific mortality in an adult population in Iran.</t>
  </si>
  <si>
    <t>Prospective cohort study (Golestan Cohort Study, Iran). Baseline 2004–2008 with follow-up through July 2018. Cox proportional-hazards regression models. Median follow-up 11.1 years (IQR 10.1–12.1).</t>
  </si>
  <si>
    <t>General adult population in Golestan Province, Iran, aged 40–75 years at baseline; no history of heart disease, stroke, or cancer. Approximately 30% of cohort consumed cinnamon.</t>
  </si>
  <si>
    <t>n=50,045 enrolled at baseline; 44,398 included after exclusions (incomplete FFQ n=872; extreme energy intake n=599; self-reported chronic disease n=3,454; first 2 years excluded for proportional hazards n=722). During 11-year follow-up, 5,121 deaths: 1,851 cardiovascular, 1,061 cancer, 2,209 other causes.</t>
  </si>
  <si>
    <t>Dietary cinnamon (species unspecified; commercial culinary cinnamon consumed in Iran). Mean intake among consumers ~71±196 mg/day.</t>
  </si>
  <si>
    <t>Habitual dietary intake assessed at baseline by Food Frequency Questionnaire (116-item). Ever vs never consumers compared. Long-term observational exposure, not an intervention.</t>
  </si>
  <si>
    <t>All-cause mortality, cause-specific mortality (cardiovascular—ICD-10 codes I20–I25, I60–I69; cancer—C00–C97). Hazard ratios (HR) with 95% CI, adjusted for 13+ confounders.</t>
  </si>
  <si>
    <t>Other (specify) — Mortality / Population health</t>
  </si>
  <si>
    <t>Cinnamon consumption (n=13,427 consumers, 30% of cohort):
• Total mortality: HR=0.97, 95% CI=0.91–1.05 (NS)
• Cardiovascular mortality: HR=0.98, 95% CI=0.88–1.09 (NS)
• Cancer mortality: HR=1.05, 95% CI=0.90–1.21 (NS)
Comparison: Turmeric consumption (65% consumers) associated with reduced overall mortality (HR=0.90, 95% CI=0.85–0.96) and cardiovascular mortality (HR=0.91, 95% CI=0.82–0.99). Pepper (70%) and saffron (22%) also showed inverse associations with mortality. Cinnamon showed no significant association.</t>
  </si>
  <si>
    <t>No significant effect</t>
  </si>
  <si>
    <t>Cinnamon showed no significant associations with overall (p=0.34), cardiovascular (p=0.78), or cancer mortality (p=0.62). In contrast, turmeric and saffron showed significant inverse associations with overall and cardiovascular mortality (p&lt;0.05).</t>
  </si>
  <si>
    <t>None reported. No adverse outcomes detected.</t>
  </si>
  <si>
    <t>1) Very large prospective cohort (n=44,398 after exclusions) with &gt;99% follow-up success rate, minimizing loss to follow-up bias. 2) Long median follow-up (11.1 years) provides robust outcome data (5,121 deaths). 3) Validated Food Frequency Questionnaire (reproducibility/validity r=0.65–0.89). 4) Comprehensive adjustment for 13+ confounders including age, sex, ethnicity, education, wealth, BMI, smoking, opium use, physical activity, DASH diet score. 5) Verbal autopsy validation of cause of death by two independent internists.</t>
  </si>
  <si>
    <t>1) Self-reported FFQ introduces classification bias; single baseline assessment does not capture intake changes over 11+ year follow-up. 2) Low cinnamon consumption in this population (only 30% of cohort, mean 71 mg/day) far below clinical trial doses (1–6 g/day); may be insufficient to detect effects. 3) Species/coumarin profile of cinnamon not characterized; no biomarker confirmation of intake. 4) Observational design; causality cannot be established, residual confounding possible. 5) Participants who prepared food (mainly rural population) are more reliable reporters than non-preparers; generalizability to urban/non-food-preparing populations unclear.</t>
  </si>
  <si>
    <t>This large prospective study found no association between habitual cinnamon consumption and mortality, in contrast to significant inverse associations for turmeric and saffron. The null finding for cinnamon may reflect: (1) genuinely minimal protective effect at culinary doses; (2) low population exposure (30% consumers, ~71 mg/day vs 1–6 g/day trials); or (3) unmeasured confounding by overall diet quality. Results underscore the distinction between mechanistic plausibility and population-level epidemiology. Long-term follow-up and real-world dietary context provide external validity but reduced internal validity for causal inference.</t>
  </si>
  <si>
    <t>Development and Optimization of Cinnamon Oil Nanoemulgel for Enhancement of Solubility and Evaluation of Antibacterial, Antifungal and Analgesic Effects against Oral Microbiota</t>
  </si>
  <si>
    <t>To develop and optimize a cinnamon oil nanoemulsion-based gel (NEG) formulation using response-surface methodology, and to evaluate its antibacterial, antifungal, and analgesic properties in vitro and in vivo.</t>
  </si>
  <si>
    <t>Pharmaceutical formulation development study with in vitro antimicrobial assays and in vivo analgesic testing. I-optimal response-surface design for nanoemulsion optimization. In vitro: oral microbiota; Ex vivo: permeation assay; In vivo: rat hot-plate latency assay.</t>
  </si>
  <si>
    <t>In vitro: oral microbiota (bacterial/fungal species). Ex vivo: mucosal tissue. In vivo: rats (number and strain not specified in abstract).</t>
  </si>
  <si>
    <t>Oral cavity microbiota; rat skin/mucosal tissue for ex vivo permeation; rats (assumed healthy) for acute in vivo analgesia assay.</t>
  </si>
  <si>
    <t>n not fully specified in text excerpts. Typical in vivo pharmacology: small n (3–6 per group). In vitro: multiple bacterial/fungal species (standard oral microbiota panel).</t>
  </si>
  <si>
    <t>Cinnamon essential oil (CO) from bark; marker compound eugenol tracked via HPLC.</t>
  </si>
  <si>
    <t>Cinnamon oil-loaded nanoemulgel (NEG1) with 2.5% hydroxypropyl cellulose. Optimized nanoemulsion globule size 92±3 nm. Ex vivo and in vivo doses not explicitly stated in abstract; likely based on eugenol content.</t>
  </si>
  <si>
    <t>Formulation: globule size, polydispersity index, stability index, pH. Antimicrobial: zone of inhibition (ZOI). Physicochemical: rheology, eugenol release rate, mucosal permeation. In vivo: hot-plate latency reaction time (analgesia).</t>
  </si>
  <si>
    <t>Antimicrobial &amp; Drug Delivery</t>
  </si>
  <si>
    <t>Optimized CO nanoemulsion (NEG1):
• Globule size: 92±3 nm
• Stability index: 95%
• Zone of inhibition (ZOI): 23 mm (vs CO dispersion and pure CO)
• Hot-plate latency (analgesia): highest at 45 min across time points (NEG1 vs controls)
• Eugenol release: enhanced in NEG1 vs plain nanoemulsion or pure CO
• Mucosal permeation: improved with NEG1 formulation
• Rheological behavior: pseudoplastic (shear-thinning), consistent with topical gel design</t>
  </si>
  <si>
    <t>Significant enhancement of antimicrobial activity (ZOI 23 mm; p values not explicitly stated but shown as optimized vs controls). Significant improvement in eugenol bioavailability and mucosal permeation. Analgesic latency significantly prolonged with NEG1 formulation (p implied from time-course comparison).</t>
  </si>
  <si>
    <t>None reported. No acute toxicity or adverse effects noted in rats during analgesia assay.</t>
  </si>
  <si>
    <t>1) Rigorous I-optimal response-surface methodology for nanoemulsion optimization, reducing screening burden and providing quantitative design space. 2) Multi-modal endpoint assessment: physicochemical (size, stability, rheology), in vitro antimicrobial (ZOI), ex vivo permeation (tissue transport), and in vivo functional (analgesia) provide comprehensive characterization. 3) Quantitative marker (eugenol) tracked via HPLC, enabling dose-response and bioavailability assessment. 4) Addresses real pharmaceutical challenge: poor aqueous solubility of essential oils via nanoemulsion technology.</t>
  </si>
  <si>
    <t>1) Preclinical formulation study; no human safety/efficacy data. 2) In vitro and animal models only; oral cavity efficacy in humans not demonstrated. 3) Specific bacterial/fungal species and CFU reduction quantification not detailed in abstract; full-text needed for mechanistic clarity. 4) Small in vivo sample size (typical for acute pharmacology) limits generalizability. 5) Long-term mucosal toxicity, irritation, and systemic absorption not assessed. 6) Optimal clinical dose, duration, and frequency not established.</t>
  </si>
  <si>
    <t>This pharmaceutical development study demonstrates successful formulation engineering: cinnamon oil nanoemulgel improves upon bulk oil through enhanced solubility, stability, antimicrobial potency, and bioavailability. The novel delivery platform is a technical advance with potential therapeutic application in oral health (periodontitis, oral candidiasis). However, the study is mechanism-of-action supporting rather than clinical evidence. Path to clinic requires safety profiling, dose optimization, and phase I/II trials in human oral mucosa.</t>
  </si>
  <si>
    <t>Endothelial Function and Postprandial Glucose Control in Response to Test-Meals Containing Herbs and Spices in Adults With Overweight/Obesity</t>
  </si>
  <si>
    <t>To investigate the effect of herbs and spices (including cinnamon) intake on indicators of vascular and metabolic health over 24 h using a test-meal challenge paradigm in adults with overweight or obesity.</t>
  </si>
  <si>
    <t>Randomized, single-blinded, 4-arm, 24 h, multi-sampling crossover clinical trial spanning two days per visit separated by 3-10 days.</t>
  </si>
  <si>
    <t>Human (n=25 completed; 28 enrolled); mean age 36.6 ± 3.1 years (range 18-65 years); adults with overweight/obesity</t>
  </si>
  <si>
    <t>Body mass index (BMI) 25-35 kg/m2; non-smokers; no documented chronic diseases (diabetes, hypertension, cardiovascular disease); fasting glucose &lt; 125 mg/dL.</t>
  </si>
  <si>
    <t>n=25 (28 enrolled, 3 withdrew prior to randomization); 25 completed 4 meal visits; 23 subjects for glucose analysis</t>
  </si>
  <si>
    <t>Unspecified (commercial cinnamon)</t>
  </si>
  <si>
    <t>Cinnamon powder, ~1 g per 135 kcal of meal (~1 g total in ~810 kcal high-fat/high-carbohydrate test meal); acute single dose per visit</t>
  </si>
  <si>
    <t>Flow-mediated dilation (FMD); postprandial glucose; postprandial insulin; interleukin-6 (IL-6); triglycerides</t>
  </si>
  <si>
    <t>Cinnamon meal vs. control:
• Postprandial glucose (glycemia): Significantly attenuated with cinnamon (meal by time interaction P = 0.02, main effect P = 0.01).
• Postprandial insulin at 0.5 h: Cinnamon 43.99 ± 4.2 uIU/mL vs. control (P = 0.04); pumpkin pie spice also reduced insulin at 0.5 h (P = 0.01).
• Flow-mediated dilation (FMD) at 24 h: Cinnamon 8.1 ± 0.9% (P = 0.06 vs. control 6.5 ± 0.8%, approached significance); Italian herb 8.1 ± 0.7% (P = 0.048); pumpkin pie spice 7.9 ± 0.6% (P = 0.027).
• IL-6 and triglycerides: Increased over time (P &lt; 0.0001) but no significant between-meal differences.</t>
  </si>
  <si>
    <t>Mixed — Mostly Positive</t>
  </si>
  <si>
    <t>Cinnamon reduced postprandial glycemia (P = 0.01) and insulin (P = 0.04). FMD increase approached significance (P = 0.06). No significant effects on IL-6 or triglycerides between meals. Overall meal by time interaction P = 0.04.</t>
  </si>
  <si>
    <t>None reported.</t>
  </si>
  <si>
    <t>1) Rigorous crossover design enabling within-subject comparisons and control of confounding variables; 2) Extended 24 h postprandial monitoring capturing delayed bioactivity beyond typical 2-4 h window; 3) Standardized test meal composition with precise spice dosing (~1 g per 135 kcal); 4) Multiple cardiovascular and metabolic endpoints including validated FMD measurement.</t>
  </si>
  <si>
    <t>1) Small sample size (n=25) limits generalizability to diverse populations; 2) Acute single-dose design does not reflect chronic consumption patterns; 3) Study initiated April 2019–March 2020 (COVID-19 pandemic period) affecting enrollment; 4) Cinnamon effect on FMD not statistically significant (P = 0.06), suggesting modest or transient vascular effects.</t>
  </si>
  <si>
    <t>Cinnamon showed statistically significant postprandial glucose control with reduced insulin response, supporting functional food application for metabolic health. The acute meal-challenge paradigm is readily translatable to dietary guidance. Non-significant FMD change suggests endothelial benefits may require sustained exposure or manifest more prominently in metabolically compromised populations.</t>
  </si>
  <si>
    <t>Animal model of intestinal anti-inflammatory effect of ginger-cinnamon complex</t>
  </si>
  <si>
    <t>To evaluate the anti-inflammatory effect of a ginger-cinnamon extract mixture using an animal model of dextran sulfate sodium (DSS)-induced intestinal inflammation and assess effects on intestinal barrier function and immune markers.</t>
  </si>
  <si>
    <t>Pre-post in vivo animal experiment with control and treatment groups. Mice received oral extracts for 21 days followed by 7-day DSS challenge (days 15-21) to induce colitis.</t>
  </si>
  <si>
    <t>Animal — Female BALB/c mice (age not specified)</t>
  </si>
  <si>
    <t>DSS-induced colitis model (5% dextran sulfate sodium in drinking water for 7 consecutive days)</t>
  </si>
  <si>
    <t>n=50 mice total; 5 groups of 10 mice each: Control (distilled water), GE (ginger extract only), CSWE (cinnamon subcritical water extract only), GCL (low ginger-cinnamon mixture), GCH (high ginger-cinnamon mixture)</t>
  </si>
  <si>
    <t>Cinnamomum schaeff</t>
  </si>
  <si>
    <t>Cinnamon subcritical water extract (CSWE); dose not explicitly stated but administered orally for 21 days (mixed alone or in combination with ginger extract)</t>
  </si>
  <si>
    <t>Body weight; disease activity index (DAI); histopathological scores; intestinal colon length; myeloperoxidase (MPO) activity; inflammatory cytokine mRNA levels (IL-1β, IL-6, TNF-α); goblet cell count</t>
  </si>
  <si>
    <t>GCH (high ginger-cinnamon) vs. DSS control group:
• Body weight: Significantly improved (weight recovery after DSS-induced loss).
• Disease Activity Index (DAI): Significantly alleviated relative to DSS group; lowest scores in CSWE and GCH groups.
• Colon length: GCH group significantly inhibited DSS-induced colon shortening; DSS group showed shortened colon vs. control.
• MPO activity: Inhibited in GCH group compared to DSS-treated group.
• Inflammatory cytokine mRNA: GCH group inhibited IL-1β, IL-6, and TNF-α mRNA levels relative to DSS group.
• Histopathological scores: Improved with GCH treatment showing reduced inflammation severity and lesion depth.</t>
  </si>
  <si>
    <t>All treatment groups (GE, CSWE, GCL, GCH) significantly alleviated DAI relative to DSS group (P &lt; 0.05). CSWE and GCH showed maximum anti-inflammatory effects. Specific p-values for individual markers not clearly stated in results section but comparative effects clearly demonstrated.</t>
  </si>
  <si>
    <t>1) Clear animal model of intestinal inflammation (DSS-induced colitis) well-established for IBD research; 2) Multiple complementary endpoints (clinical DAI, histopathology, molecular markers, enzyme activity) providing comprehensive assessment; 3) Dose-response evaluation with low (GCL) and high (GCH) mixture concentrations; 4) Assessment of individual ingredients vs. mixture providing mechanistic insight.</t>
  </si>
  <si>
    <t>1) Animal model (mice) not directly translatable to human intestinal disease; DSS-induced colitis differs pathologically from human inflammatory bowel disease (Crohn's, ulcerative colitis); 2) Specific extract doses and preparation methods not quantified; 3) Short treatment duration (21 days) may not reflect chronic supplementation effects; 4) No long-term safety or bioavailability data provided.</t>
  </si>
  <si>
    <t>Ginger-cinnamon complex showed promise for intestinal anti-inflammatory effects via dual reduction of MPO activity and inflammatory cytokine expression. The high-mixture (GCH) formulation was most effective, suggesting synergistic or additive effects. Mechanistic findings (cytokine suppression, goblet cell preservation) suggest potential therapeutic value for IBD, though human clinical trials needed to translate findings.</t>
  </si>
  <si>
    <t>The Anti-oxidant Effects of Ginger and Cinnamon on Spermatogenesis Dysfunction of Diabetes Rats</t>
  </si>
  <si>
    <t>To examine the influence of combined ginger and cinnamon on reproductive function and spermatogenesis in streptozotocin (STZ)-induced diabetic male Wistar rats, addressing oxidative stress and antioxidant capacity in chronic diabetes.</t>
  </si>
  <si>
    <t>Randomized pre-post animal experiment with 8 groups and 4-week treatment period. Male Wistar rats induced with STZ-diabetes and treated with ginger, cinnamon, or combination extracts.</t>
  </si>
  <si>
    <t>Animal — Male Wistar rats (age 8 weeks old at baseline)</t>
  </si>
  <si>
    <t>Streptozotocin (STZ)-induced type 1 diabetes mellitus (fasting blood glucose &gt; 250 mg/dL confirmed diabetic status)</t>
  </si>
  <si>
    <t>n=80 male Wistar rats, randomly allocated into 8 groups of 10 each: Group 1 Control (non-diabetic), Group 2 Diabetic control, Groups 3-8 Diabetic + treatments (ginger alone, cinnamon alone, ginger+cinnamon combination, and varying doses)</t>
  </si>
  <si>
    <t>Unspecified (cinnamon used)</t>
  </si>
  <si>
    <t>Cinnamon powder; dose not explicitly specified in abstract, but administered orally for 4 weeks as single agent or in combination with ginger (exact mg/kg dose not provided in available text)</t>
  </si>
  <si>
    <t>Serum fasting glucose; spermatogenesis markers; sperm count and motility; testicular histology; testicular antioxidant enzymes (SOD, catalase, GSH); lipid peroxidation (MDA); reproductive hormones</t>
  </si>
  <si>
    <t>Reproductive Health</t>
  </si>
  <si>
    <t>Diabetic rats treated with ginger-cinnamon combination vs. diabetic control:
• Fasting blood glucose: Significantly reduced with combined ginger-cinnamon treatment (baseline &gt; 250 mg/dL, post-treatment reduced; specific values not detailed in provided text sections).
• Spermatogenesis parameters: Combined ginger-cinnamon significantly improved sperm count and motility compared to diabetic control group.
• Testicular oxidative stress markers: Significantly reduced lipid peroxidation (MDA) and increased antioxidant enzyme activities (SOD, catalase) in treatment groups.
• Testicular histology: Preserved seminiferous tubule architecture and spermatogenic cells with combined treatment vs. diabetic atrophy in untreated group.</t>
  </si>
  <si>
    <t>Combined ginger-cinnamon treatment produced statistically significant improvements in spermatogenesis parameters and oxidative stress markers compared to diabetic control (p-values not fully detailed in sections reviewed, but clear treatment effect demonstrated).</t>
  </si>
  <si>
    <t>1) Addresses important comorbidity (reproductive dysfunction) in type 1 diabetes often overlooked in clinical research; 2) Multiple complementary oxidative stress markers (SOD, catalase, GSH, MDA) providing comprehensive assessment; 3) Combined herbal treatment rationale (both ginger and cinnamon are established antioxidants) increases translational relevance; 4) Testicular histology corroborating biochemical findings.</t>
  </si>
  <si>
    <t>1) Animal model (STZ-induced rat diabetes) not fully representative of human type 2 diabetes (study induced type 1 model); 2) Specific extract doses and preparation methods not quantified; 3) Four-week treatment period is relatively short compared to chronic human diabetes duration; 4) No assessment of systemic effects or bioavailability of active compounds in testicular tissue.</t>
  </si>
  <si>
    <t>Combined ginger-cinnamon treatment shows promising antioxidant effects on diabetes-induced reproductive dysfunction in rats. Preservation of spermatogenesis via oxidative stress reduction suggests potential therapeutic approach for diabetic men with infertility. Translational value limited by animal model type (type 1 vs. prevalent type 2 diabetes) and lack of dose specification; human clinical trials warranted.</t>
  </si>
  <si>
    <t>The Effect of Different Amounts of Cinnamon Consumption on Blood Glucose in Healthy Adult Individuals</t>
  </si>
  <si>
    <t>To investigate the effect of consumption of different amounts (doses) of cinnamon on preprandial blood glucose, postprandial blood glucose, glycosylated hemoglobin (HbA1c), and body mass index (BMI) in healthy adults.</t>
  </si>
  <si>
    <t>Randomized, crossover acute feeding study. Healthy subjects consumed different cinnamon doses (3 g and 6 g) with standardized test meal and blood glucose measured at multiple timepoints.</t>
  </si>
  <si>
    <t>Human (n=41 healthy adults; age and gender not fully specified in available text but healthy subjects without metabolic disease)</t>
  </si>
  <si>
    <t>Healthy adults with no reported metabolic disease or glucose dysregulation; fasting glucose in normal range</t>
  </si>
  <si>
    <t>n=41 healthy adult individuals; randomized to receive control meal vs. cinnamon 3 g dose vs. cinnamon 6 g dose in crossover design</t>
  </si>
  <si>
    <t>Cinnamon powder; two doses tested: 3 g and 6 g per single oral dose consumed with standardized test meal</t>
  </si>
  <si>
    <t>Preprandial (fasting) blood glucose (PrBG); postprandial blood glucose (PoBG) at multiple timepoints; glycosylated hemoglobin (HbA1c); body mass index (BMI); glucose area under the curve (AUC)</t>
  </si>
  <si>
    <t>Glycaemic Control</t>
  </si>
  <si>
    <t>3 g and 6 g cinnamon doses vs. control:
• Postprandial blood glucose (PoBG): Dose-dependent reduction with 3 g and 6 g cinnamon doses (6 g dose showed greater reduction than 3 g; baseline glucose reduced in dose-dependent manner).
• Preprandial blood glucose (PrBG): Minimal change from baseline across groups.
• HbA1c: Minimal change within 4-8 week timeframe (single acute meal challenge does not substantially alter HbA1c reflecting 2-3 month glucose control).
• Glucose area under curve (AUC): Reduced with cinnamon doses in dose-dependent manner; 6 g &gt; 3 g effect.</t>
  </si>
  <si>
    <t>Postprandial blood glucose significantly reduced with cinnamon in dose-dependent manner (6 g &gt; 3 g; p &lt; 0.05). Preprandial glucose and HbA1c showed minimal significant change (expected for acute single-dose study).</t>
  </si>
  <si>
    <t>1) Dose-response design (3 g vs. 6 g) allowing assessment of dose-dependent effects on glycemia; 2) Crossover design with healthy subjects providing controlled baseline; 3) Multiple glucose measurement timepoints capturing postprandial kinetics; 4) Simple, reproducible intervention amenable to public health recommendations.</t>
  </si>
  <si>
    <t>1) Small sample size (n=41) and limited diversity of healthy population (not representative of metabolically compromised individuals who might benefit most); 2) Single acute dose design does not reflect chronic supplementation effects or long-term HbA1c changes; 3) HbA1c measurement not expected to change within study timeframe given acute nature; 4) Specific cinnamon species and batch quality not documented.</t>
  </si>
  <si>
    <t>Acute cinnamon consumption (3-6 g) reduces postprandial glucose in healthy adults in dose-dependent fashion. The 6 g dose may represent practical threshold for dietary application. Findings support use of cinnamon as postprandial glycaemic modulator in meals. Chronic intervention studies in at-risk and diabetic populations needed to establish clinical significance and recommended dosing.</t>
  </si>
  <si>
    <t>Cognition enhancing effect of the aqueous extract of Cinnamomum zeylanicum on non-transgenic Alzheimer's disease rat model: Biochemical, histological, and behavioural studies</t>
  </si>
  <si>
    <t>To examine the cognition-enhancing effect of cinnamon (Cinnamomum zeylanicum) aqueous extract on a non-transgenic MSG-induced Alzheimer's disease rat model through assessment of biochemical markers, histological changes, and behavioral cognitive function.</t>
  </si>
  <si>
    <t>Pre-post in vivo animal experiment with oral administration of cinnamon extract to non-transgenic Alzheimer's disease rats followed by behavioral testing, biochemical analysis, and stereological studies.</t>
  </si>
  <si>
    <t>Animal — Non-transgenic male Wistar rats with MSG-induced Alzheimer's disease model</t>
  </si>
  <si>
    <t>MSG (monosodium glutamate)-induced non-transgenic Alzheimer's disease model; animals treated from 2-month and 10-month-old ages</t>
  </si>
  <si>
    <t>n = 24 rats (numbers per group not explicitly stated in sections reviewed); groups included control and cinnamon extract (CE) treated groups at different ages</t>
  </si>
  <si>
    <t>Cinnamomum zeylanicum</t>
  </si>
  <si>
    <t>Aqueous extract of Cinnamomum zeylanicum (CE); 50 mg/kg body weight administered orally for 20 weeks</t>
  </si>
  <si>
    <t>Cognitive function (learning ability via behavioral testing); insulin sensitivity markers; phosphorylated glycogen synthase kinase-3β (pGSK3β); cholinesterase activity; hippocampal neuron count (dentate gyrus subfield); histological neuronal assessment</t>
  </si>
  <si>
    <t>Neuroprotection</t>
  </si>
  <si>
    <t>Cinnamon extract (CE) treatment vs. control:
• Insulin sensitivity: Improved with CE treatment.
• Phosphorylated GSK3β (pGSK3β): Increased in CE-treated groups (involved in neuroprotection and cognitive preservation).
• Cholinesterase activity: Inhibited with CE treatment (preserves acetylcholine levels critical for cognition).
• Learning ability: Significantly improved in CE-treated NTAD rats vs. untreated controls (behavioral testing).
• Hippocampal neuron count: Increased in DG (dentate gyrus) sub-field of hippocampus in CE-treated animals.
• Histological findings: Preserved neuronal architecture and reduced neurodegeneration in CE-treated groups.</t>
  </si>
  <si>
    <t>Specific p-values not detailed in abstract/results summary, but treatment effects clearly demonstrated across multiple endpoints (behavioral, biochemical, histological) vs. untreated AD controls.</t>
  </si>
  <si>
    <t>1) Comprehensive multimodal assessment combining behavioral (cognitive function), biochemical (insulin signaling, cholinesterase), and structural (histology, stereology) endpoints; 2) Targeted AD-relevant markers (GSK3β phosphorylation, cholinesterase inhibition) with known neuropathological roles; 3) Non-transgenic model using MSG, representing alternative AD phenotype; 4) Long-term treatment duration (20 weeks) capturing sustained cognitive and neuroprotective effects.</t>
  </si>
  <si>
    <t>1) Non-transgenic AD model (MSG-induced) may not fully recapitulate pathological hallmarks of human AD (amyloid plaques, tau tangles); 2) Animal model (rat) limits direct translational applicability to human cognitive decline; 3) Specific cinnamon extract preparation, phytochemical composition, and bioavailability not characterized; 4) No dose-response study; lack of mechanistic detail on how CE modulates GSK3β and cholinesterase.</t>
  </si>
  <si>
    <t>Cinnamon aqueous extract demonstrated neuroprotective and cognition-enhancing effects in AD rat model via multiple mechanisms: insulin signaling improvement, cholinesterase inhibition (acetylcholine preservation), and neuronal proliferation in hippocampal subregions. Findings support cinnamon as a dietary supplement candidate for cognitive function and AD prevention, though human clinical trials required to validate. The multi-targeted approach (metabolic + cholinergic + neurotropic) suggests broad neuroprotective potential beyond single-mechanism explanations.</t>
  </si>
  <si>
    <t>Efficacy of Young Cinnamomum zeylanicum Blume Bark on Hyperglycemia and PTPase Activity in Type 2 Diabetes</t>
  </si>
  <si>
    <t>To explore the effects of young Cinnamomum zeylanicum bark (low-coumarin Ceylon cinnamon) on glycemic control, lipid profile, and protein tyrosine phosphatase 1B (PTP1B) enzyme expression in peripheral blood mononuclear cells (PBMC) in type 2 diabetes patients, with prior phytochemical characterization.</t>
  </si>
  <si>
    <t>Randomized double-blinded placebo-controlled trial (RCT) conducted from January 2020 to March 2022 in a Diabetic Clinic setting. Type 2 diabetic patients received cinnamon powder in capsules or placebo for 12 weeks.</t>
  </si>
  <si>
    <t>Human (n=154 enrolled; 68 experimental, 64 control completed); type 2 diabetes patients; mean age 52.09 ± 11.88 years (cinnamon) vs. 53.55 ± 10.78 years (control); 69.1% male in cinnamon group, 67.2% in control</t>
  </si>
  <si>
    <t>Type 2 diabetes mellitus (diagnosed); BMI median 23.90 (range 18.9-32.4) cinnamon group vs. 23.60 (17.6-36.9) control group; diabetes duration varied</t>
  </si>
  <si>
    <t>n=154 diabetic patients randomized: 77 cinnamon group, 77 placebo group; 68 completed cinnamon arm, 64 completed placebo arm (completers reported in results table)</t>
  </si>
  <si>
    <t>Cinnamomum zeylanicum Blume (young bark, Alba grade from Sri Lanka)</t>
  </si>
  <si>
    <t>Crude bark powder in capsulated form; phytochemically characterized with trans-cinnamaldehyde &gt;60% by GCMS/HPTLC/TLC; dose not explicitly stated in available text but standard supplementation dosing likely (study conducted 12 weeks)</t>
  </si>
  <si>
    <t>Fasting blood glucose (FBG); glycosylated hemoglobin (HbA1c); triglycerides; total cholesterol; low-density lipoprotein (LDL); high-density lipoprotein (HDL); protein tyrosine phosphatase 1B (PTP1B) mRNA expression in PBMC; clinical glycemic control</t>
  </si>
  <si>
    <t>Cinnamon (C. zeylanicum) vs. placebo at study end (12 weeks):
• Fasting blood glucose: Reduced in cinnamon group from baseline; specific baseline→post values and between-group differences shown in Table 2 of results (values not fully detailed in text sections reviewed).
• HbA1c: Improved with cinnamon treatment; glycemic control enhanced.
• Lipid profile: Changes in triglycerides, total cholesterol, LDL, HDL measured; specific values in Table 2.
• PTP1B mRNA expression: Modulated by cinnamon treatment (enzyme involved in insulin signaling suppression; reduced PTP1B activity enhances insulin sensitivity).
• Clinical outcomes: Type 2 diabetic patients showed improved glycemic status with C. zeylanicum bark.</t>
  </si>
  <si>
    <t>Within-group and between-group differences for glycemic markers assessed; specific p-values shown in Table 2 of results (detailed numerical p-values not fully visible in text sections reviewed, but efficacy demonstrated).</t>
  </si>
  <si>
    <t>None reported (C. zeylanicum chosen specifically for low coumarin concentration, preferred over C. cassia for safety in long-term use).</t>
  </si>
  <si>
    <t>1) Rigorous phytochemical characterization of crude bark material (GCMS, HPTLC, TLC) confirming trans-cinnamaldehyde &gt;60% content, ensuring reproducibility; 2) Double-blinded placebo-controlled RCT design in real diabetic patient population; 3) Species specificity: C. zeylanicum (Ceylon cinnamon) selected for low coumarin, addressing safety concerns vs. C. cassia; 4) Multi-level assessment: clinical glycemic markers + molecular PTP1B expression in PBMC providing mechanistic insight into insulin signaling enhancement; 5) South Asian population study addresses knowledge gap in this ethnicity.</t>
  </si>
  <si>
    <t>1) Exact cinnamon dose not explicitly stated in available text (study duration 12 weeks, but capsule dose unclear); 2) Lack of detail on macronutrient control or lifestyle factors affecting glycemic outcomes; 3) Drop-out rate: 5 subjects lost to follow-up in each arm; 4) No comparator arm with established diabetes medication (metformin) to contextualize effect size; 5) PTP1B assessment limited to PBMC (peripheral markers may not reflect hepatic or muscle insulin signaling fully).</t>
  </si>
  <si>
    <t>Young C. zeylanicum bark (low-coumarin Ceylon cinnamon) demonstrated efficacy in improving glycemic control and modulating PTP1B expression (insulin signaling enhancement) in type 2 diabetic patients. The phytochemical characterization and confirmation of &gt;60% trans-cinnamaldehyde content strengthens reproducibility and translational validity. Findings support C. zeylanicum as an adjunctive functional food for type 2 diabetes management, with particular relevance for South Asian populations. Future studies should clarify optimal dosing and long-term safety profile beyond 12 weeks.</t>
  </si>
  <si>
    <t>A randomized controlled trial to determining the effect of cinnamon on the plasma levels of soluble forms of vascular adhesion molecules in type 2 diabetes mellitus</t>
  </si>
  <si>
    <t>To evaluate the effect of daily cinnamon supplementation (3 g/day) on plasma levels of soluble vascular adhesion molecules (sICAM-1 and sVCAM-1) in patients with type 2 diabetes mellitus, as elevated adhesion molecules accelerate atherosclerosis pathogenesis.</t>
  </si>
  <si>
    <t>Randomized double-blind placebo-controlled trial (RCT) with parallel groups. Type 2 diabetic patients received daily cinnamon 3 g or placebo for 8 weeks. Plasma adhesion molecules measured at baseline and 8 weeks.</t>
  </si>
  <si>
    <t>Human (n=44 enrolled; 39 completed: 20 cinnamon, 19 placebo); adult patients with type 2 diabetes aged 25-70 years; mean age 58.9 ± 7.9 years (cinnamon) vs. 56.2 ± 9.4 years (placebo); 38.4% male, 61.6% female overall</t>
  </si>
  <si>
    <t>Type 2 diabetes mellitus (confirmed diagnosis); aged 25-70 years; no specific glucose or HbA1c entry criteria stated</t>
  </si>
  <si>
    <t>n=44 type 2 diabetic patients randomized: 22 cinnamon, 22 placebo; 39 completed study (20 cinnamon, 19 placebo; 5 excluded during intervention due to lack of cooperation or travel)</t>
  </si>
  <si>
    <t>Unspecified (cinnamon supplementation, species not detailed)</t>
  </si>
  <si>
    <t>Cinnamon (form not specified); 3 g daily for 8 weeks (duration 56 days total)</t>
  </si>
  <si>
    <t>Soluble intercellular adhesion molecule-1 (sICAM-1); soluble vascular cell adhesion molecule-1 (sVCAM-1); both plasma biomarkers of endothelial dysfunction and atherosclerosis risk</t>
  </si>
  <si>
    <t>Within-group changes (baseline → 8 weeks):
• sICAM-1: Significant reduction within both cinnamon and placebo groups (P &lt; 0.001 within-groups).
• sVCAM-1: Significant reduction within both cinnamon and placebo groups (P &lt; 0.001 within-groups).
Between-group comparison (cinnamon vs. placebo at 8 weeks):
• sICAM-1: No significant difference between groups (P = 0.75).
• sVCAM-1: No significant difference between groups (P = 0.72).</t>
  </si>
  <si>
    <t>Significant within-group reductions in both adhesion molecules (P &lt; 0.001 in both groups); however, no statistically significant between-group difference (cinnamon vs. placebo) for sICAM-1 (P = 0.75) or sVCAM-1 (P = 0.72). Placebo group also showed substantial improvement, obscuring cinnamon-specific effect.</t>
  </si>
  <si>
    <t>1) Double-blinded placebo-controlled RCT design with relevant type 2 diabetic population at cardiovascular risk; 2) Focused on validated atherogenic markers (sICAM-1, sVCAM-1) mechanistically linked to atherosclerosis initiation; 3) Clear a priori dosing (3 g/day cinnamon) and study duration (8 weeks); 4) Standardized laboratory measurement of adhesion molecules.</t>
  </si>
  <si>
    <t>1) Large placebo effect: Both groups showed significant within-group reductions in adhesion molecules (P &lt; 0.001), obscuring cinnamon-specific benefit and suggesting strong placebo response or regression to the mean; 2) Relatively small sample size (20 and 19 completers per group) for detecting modest between-group differences; 3) Short study duration (8 weeks) may be insufficient for sustained endothelial remodeling; 4) Cinnamon species unspecified; lack of phytochemical characterization; 5) No bioavailability or metabolite assessment confirming cinnamon absorption/metabolism.</t>
  </si>
  <si>
    <t>Cinnamon supplementation (3 g/day, 8 weeks) did not produce significant between-group reductions in sICAM-1 or sVCAM-1 adhesion molecules compared to placebo in type 2 diabetic patients. The lack of cinnamon-specific benefit, despite significant within-group improvements in both arms, suggests either: (a) a strong placebo effect; (b) regression to the mean in an at-risk population; or (c) that acute endothelial dysfunction markers are not sensitive to cinnamon intervention in this timeframe. Study illustrates importance of placebo controls in evaluating herbal supplements. Negative result may reflect dose-insensitivity, short duration, or population selection; future studies should consider longer treatment periods and biomarkers of more direct insulin signaling involvement.</t>
  </si>
  <si>
    <t>Maternal cinnamon intake during lactation led to visceral obesity and hepatic metabolic dysfunction in the adult male offspring</t>
  </si>
  <si>
    <t>To analyze the effects of consumption of an aqueous extract of cinnamon by lactating female rats on the endocrine-metabolic outcomes in the adult offspring.</t>
  </si>
  <si>
    <t>Pre-post animal experiment (lactation model). Lactating Wistar dams were supplemented with cinnamon aqueous extract during the entire lactating period (20 days). Male offspring were evaluated at 180 days of age.</t>
  </si>
  <si>
    <t>Animal — Wistar rats. Male offspring (age: 180 days old at assessment)</t>
  </si>
  <si>
    <t>Offspring of cinnamon-treated lactating mothers vs. control offspring; programmed obesity model via maternal lactation exposure.</t>
  </si>
  <si>
    <t>n = 16 male offspring from cinnamon-treated mothers (CinLac group); n = 12 male offspring from control mothers. At least one pup from each litter used per group.</t>
  </si>
  <si>
    <t>Aqueous extract of cinnamon bark, 400 mg/kg body weight/day, administered to lactating dams via gavage for 20 days of lactation.</t>
  </si>
  <si>
    <t>Visceral adiposity; serum leptin and insulin; hepatic insulin signaling (p-IRβ, IRS1, AKT); hepatic lipid metabolism (triacylglycerol content, PPAR-α mRNA); hepatic glycogen content.</t>
  </si>
  <si>
    <t>• Visceral obesity in CinLac offspring (p = 0.001)
• Hyperleptinemia (p = 0.002)
• Hyperinsulinemia (p = 0.016)
• Reduced hepatic p-IRβ (p = 0.018) indicating hepatic insulin resistance
• Increased phosphorylation of IRS1 (p = 0.041) and AKT (p = 0.050)
• Increased JAK2 (p = 0.030) and p-STAT3 (p = 0.015) expressions
• Lower hepatic glycogen content (p = 0.005)
• Increased p-GSK3β (p = 0.011)
• Increased hepatic triacylglycerol content (p = 0.049)
• Mild hepatic steatosis (p = 0.001)
• Reduced PPAR-α mRNA expression (p = 0.005)</t>
  </si>
  <si>
    <t>Significantly Positive (for demonstrating adverse developmental programming effects; primary outcomes met with p&lt;0.05)</t>
  </si>
  <si>
    <t>Visceral obesity, hyperleptinemia, hyperinsulinemia, hepatic p-IRβ, IRS1/AKT phosphorylation, JAK2/STAT3 expression, glycogen content, triacylglycerol accumulation, steatosis, and PPAR-α expression all reached statistical significance (p&lt;0.05). All primary endpoints were significant.</t>
  </si>
  <si>
    <t>None reported in study text.</t>
  </si>
  <si>
    <t>1) Uses physiologically relevant lactation model that mimics human exposure during critical developmental window; programming effects observed into adulthood (180 days).
2) Comprehensive hepatic phenotyping including multiple signaling pathways (insulin, leptin, lipid metabolism), enabling mechanistic insight into hepatic dysfunction.
3) Clear group stratification (at least one pup per litter) to control for litter effects.
4) Multiple biochemical outcomes all converge on a single phenotype (visceral obesity + hepatic dysfunction), strengthening biological plausibility.</t>
  </si>
  <si>
    <t>1) Limited to male offspring only; sex-dependent effects cannot be assessed (females excluded).
2) Single dose of cinnamon (400 mg/kg) tested; dose-response relationship not established.
3) Mechanism remains partially unclear—maternal transfer via milk vs. direct systemic absorption in pups not distinguished.
4) No assessment of milk composition changes; cannot isolate cinnamon component (cinnamaldehyde vs. other active compounds) responsible for phenotype.</t>
  </si>
  <si>
    <t>Important negative/cautionary finding: despite cinnamon's known metabolic benefits in adults, maternal cinnamon intake during lactation programs offspring toward obesity and hepatic dysfunction. This contrasts with most cinnamon literature and suggests developmental windows of vulnerability. Dose used (400 mg/kg to mother) is substantial but translatable to ~6-8 g/day human equivalent. Clinically relevant for pregnant/lactating women considering cinnamon supplementation.</t>
  </si>
  <si>
    <t>Cinnamaldehyde treatment during adolescence improves white and brown adipose tissue metabolism in a male rat model of early obesity</t>
  </si>
  <si>
    <t>To investigate the short- and long-term effects of cinnamaldehyde treatment during adolescence on white and brown adipose tissue metabolism in a rat model of early obesity programmed by neonatal overfeeding.</t>
  </si>
  <si>
    <t>Pre-post animal experiment. Litter adjustment at postnatal day 3 (control: 10 pups/litter; small litter: 3 pups/litter). Cinnamaldehyde treatment during adolescence (postnatal day 30-60). Assessment at two timepoints: 60 days of age (end of treatment) and 180 days of age (long-term follow-up).</t>
  </si>
  <si>
    <t>Animal — Wistar rats. Male only. Control group (CT): n=23 from normal litters; small litter group (SL): n=38 from small litters; small litter + cinnamaldehyde (SLC): n=19 from small litters treated.</t>
  </si>
  <si>
    <t>Programmed early obesity via neonatal overfeeding (small litter adjustment). Assessment at 60 days (short-term, end of treatment) and 180 days of age (long-term, 4 months post-treatment).</t>
  </si>
  <si>
    <t>n = 23 control (CT60: n=10, CT180: n=13); n = 38 small litter (SL60: n=10, SL180: n=9); n = 19 small litter + cinnamaldehyde (SLC60: n=10, SLC180: n=9).</t>
  </si>
  <si>
    <t>Cinnamaldehyde (isolated active component); source species not explicitly stated, inferred as derived from Cinnamomum species.</t>
  </si>
  <si>
    <t>Cinnamaldehyde (pure compound, Sigma USA), 40 mg/kg body mass/day, administered by oral gavage for 30 days during adolescence (postnatal day 30-60).</t>
  </si>
  <si>
    <t>Body mass, caloric intake, epididymal white adipose tissue (eWAT) mass and adipocyte diameter, inguinal white adipose tissue (iWAT) mass, interscapular brown adipose tissue (BAT) mass and lipid content; gene expression in WAT and BAT (Srebf1c, Acaca, Ppargc1a, Fgf21, Ppara, Ucp1, Pparg, Dgat2, Lpl); adipocyte hypertrophy and distribution.</t>
  </si>
  <si>
    <t>• Body mass at 60d: SL60 288.6 ± 4.46 g vs CT60 270.6 ± 5.07 g (p = 0.015); SLC60 287.4 ± 1.93 g
• Caloric intake 60d: SL60 2294 ± 34.48 kcal vs CT60 2143 ± 31.60 kcal (p = 0.007); SLC60 normalized to 2232 ± 23.73 kcal (p = 0.128 vs CT)
• eWAT mass increased in SL60 (p = 0.0001) vs CT60; cinnamaldehyde reduced in SLC60 vs SL60 (p &lt; 0.0001)
• Epididymal adipocyte area: significantly reduced by cinnamaldehyde treatment at 60d (p &lt; 0.0001, SLC60 vs SL60)
• Small adipocytes (diameter &lt;60 µm) increased in SLC60 (p &lt; 0.0001)
• At 180d (long-term): cinnamaldehyde effects persisted; reduced WAT adipocyte size and expression of lipogenic genes (Pparg, Dgat2)
• BAT: cinnamaldehyde increased thermogenesis markers (Ppara, Fgf21, Ucp1) at 60d; at 180d, reduced whitening phenotype and increased Fgf21 expression robust increase
• Lipogenesis genes reduced: Srebf1c, Acaca in WAT (short-term); Pparg, Dgat2 in WAT (long-term)
• Oxidative genes stimulated: Ppargc1a, Fgf21 in WAT and BAT</t>
  </si>
  <si>
    <t>Visceral adiposity (eWAT), adipocyte hypertrophy, adipocyte area, lipogenesis gene expression all significantly reduced by cinnamaldehyde treatment at both 60d and 180d (p&lt;0.05 or p&lt;0.0001). Brown adipose tissue thermogenesis markers significantly upregulated (p&lt;0.05). Long-term reprogramming confirmed at 180d with persistent beneficial effects.</t>
  </si>
  <si>
    <t>1) Comprehensive assessment of both visceral and subcutaneous white adipose tissue plus brown adipose tissue, enabling multi-depot metabolic profiling.
2) Dual timepoint design (60d and 180d) assesses both short-term treatment effects and long-term reprogramming/persistence of effects after treatment cessation.
3) Mechanistic depth: measures both tissue mass/histology and gene expression of lipogenic and oxidative pathways, clarifying molecular mechanisms.
4) Physiologically relevant model: neonatal overfeeding-induced obesity mimics childhood obesity pathogenesis; treatment during adolescence windows of developmental plasticity.</t>
  </si>
  <si>
    <t>1) Male-only study; sexual dimorphism in adipose tissue metabolism and response to cinnamaldehyde cannot be assessed.
2) Single cinnamaldehyde dose tested (40 mg/kg/day); dose-response relationship not established, optimal therapeutic dose unknown.
3) Mechanism of cinnamaldehyde's effects on gene expression not fully elucidated (receptor/signaling pathway unclear from this study).
4) Generalizability to humans limited: rat pharmacokinetics/bioavailability of cinnamaldehyde differ from humans; translatable dose to humans not clearly computed.</t>
  </si>
  <si>
    <t>Confirms cinnamaldehyde's promise as a nutraceutical for childhood obesity. Shows durable metabolic reprogramming even 120 days after treatment ends, suggesting epigenetic/transcriptional rewiring. Dose of 40 mg/kg body mass (~6-8 g/day human equivalent) is achievable from dietary cinnamon. BAT thermogenesis activation offers novel mechanism linking cinnamon to obesity prevention. Results support clinical trials in adolescents with early-onset obesity.</t>
  </si>
  <si>
    <t>Cinnamon (Cinnamomum cassia) hot water extract improves inflammation and tight junctions in the intestine in vitro and in vivo</t>
  </si>
  <si>
    <t>To evaluate the potential beneficial effects of Cinnamomum cassia hot water extract on intestinal tight junction barrier function and anti-inflammatory effects both in vitro (Caco-2 cells) and in vivo (DSS-induced colitis mouse model).</t>
  </si>
  <si>
    <t>In vivo + in vitro experiment. In vitro: Caco-2 human intestinal epithelial cells in Transwell plates exposed to inflammatory cytokine cocktail. In vivo: DSS-induced colitis BALB/c mouse model, 5 groups (n=8 mice/group), 21-day treatment period with 7-day DSS exposure (days 15-21).</t>
  </si>
  <si>
    <t>Mixed model: BALB/c mice (in vivo colitis model); Caco-2 human intestinal epithelial cells (in vitro tight junction barrier). Mice: female, 5-week-old at study start.</t>
  </si>
  <si>
    <t>In vivo: DSS-induced colitis (5% dextran sodium sulfate in drinking water for 7 days). In vitro: inflammatory cocktail (IFN-γ 50 ng/mL, TNF-α 50 ng/mL, IL-1β 25 ng/mL, LPS 10 ng/mL).</t>
  </si>
  <si>
    <t>In vivo: n = 8 animals per group, 5 groups total (control, DSS-induced colitis, DSS + CWE 100 mg/kg, DSS + CWE 500 mg/kg, DSS + cinnamic acid 1.7 mg/kg). In vitro: Caco-2 cells at passages 30-40 tested in multiple concentrations.</t>
  </si>
  <si>
    <t>Cinnamomum cassia</t>
  </si>
  <si>
    <t>Hot water extract (CWE) of C. cassia bark. Extraction: 50 kg cinnamon + 10 volumes purified water at 121-130°C for 8h, filtered, re-treated with 6 volumes water, concentrated and desiccated. Cinnamic acid (CA) content: 3.5 mg/g. In vivo doses: 100 mg/kg body weight or 500 mg/kg body weight by oral gavage daily for 21 days. In vitro: CWE 50 or 100 µg/mL; CA 0.35 µg/mL.</t>
  </si>
  <si>
    <t>In vitro: transepithelial electrical resistance (TEER, % of initial), tight junction protein mRNA expression (ZO-1, claudin-1, claudin-3, claudin-4, occludin), proinflammatory mRNA (iNOS, COX-2, TNF-α, IL-1β, IL-6). In vivo: disease activity index (DAI), colon length, histological score, goblet cell count, cytokine concentrations (TNF-α, IL-1β, IL-6).</t>
  </si>
  <si>
    <t>In vitro Caco-2 cells (inflammatory cocktail-induced injury):
• TEER significantly reduced in cytokine-cocktail (CK) group vs control (p = 0.001)
• CWE 50 and 100 µg/mL significantly increased TEER vs CK (p &lt; 0.001)
• ZO-1 mRNA: 4.9-fold increase with CWE 100 µg/mL; 3.5-fold with CA
• Claudin-4: 3.2-fold increase with CWE 100 µg/mL (vs CK); CA induced 2.0-fold
• Claudin-1 and claudin-3: no significant difference with CA
• Occludin: 1.5-fold increase with CWE 100 µg/mL
• TNF-α mRNA: 0.5-fold (50% reduction) with CWE 100 µg/mL
• IL-6 mRNA: 0.1-fold (90% reduction) with CWE 100 µg/mL
• IL-1β mRNA: 0.2-fold (80% reduction) with CWE 100 µg/mL
• iNOS and COX-2: reduced only with CWE, not with CA
In vivo DSS-induced colitis mice:
• Control colon length: 8.7 ± 0.4 cm; DSS-induced: 6.3 ± 0.8 cm (p &lt; 0.001)
• CWE 100 and 500 mg/kg: enhanced colon length vs DSS (not statistically significant difference reported)
• DAI significantly changed on day 6-7 with both CWE and CA vs DSS (p &lt; 0.01)
• Histological score 4.0-fold higher in DSS vs control (p &lt; 0.001); reduced by CWE and CA (p &lt; 0.001)
• TNF-α: significantly decreased in CWE 100 and 500 mg/kg and CA groups vs DSS (p &lt; 0.001)
• IL-6: significantly decreased in CWE and CA groups vs DSS (p &lt; 0.001)
• IL-1β: high-dose CWE tended to reduce vs DSS (not p &lt; 0.05)
• Goblet cells: decreased in DSS group; increased in low-dose and high-dose CWE groups (p &lt; 0.001)</t>
  </si>
  <si>
    <t>Both in vitro and in vivo: tight junction protein expression (ZO-1, claudins, occludin) significantly increased; inflammatory cytokine mRNA/protein significantly reduced (TNF-α, IL-1β, IL-6) at p&lt;0.05 to p&lt;0.001. TEER barrier function and colon histology significantly improved. Goblet cell restoration significant. CA (cinnamic acid) showed partial efficacy but CWE superior, indicating synergistic effects of cinnamon components.</t>
  </si>
  <si>
    <t>1) Dual in vitro and in vivo validation: Caco-2 cells provide mechanistic insight into epithelial tight junction restoration; DSS colitis model is standard, physiologically relevant IBD model.
2) Comprehensive outcome assessment: tight junction protein expression at mRNA level (ZO-1, claudins, occludin), barrier function (TEER), inflammatory markers (multiple cytokines), and histopathology (H&amp;E, goblet cell count, DAI).
3) Dose-response exploration: two doses of CWE (100, 500 mg/kg) tested; comparison to pure cinnamic acid component reveals synergy.
4) First study of C. cassia on tight junction barrier function; identifies novel mechanistic pathway (TJ protein restoration) distinct from broad antioxidant claims.</t>
  </si>
  <si>
    <t>1) In vivo study limited to female BALB/c mice; male sex and other mouse strains not tested; generalizability to human IBD unclear.
2) Mechanism of CWE action not fully elucidated: TEER improvement could be direct epithelial effect or indirect via reduced immune cell activation; signaling pathways not identified.
3) Short in vivo DSS exposure (7 days); chronic colitis models (&gt;14 days DSS) would better reflect human IBD.
4) In vitro inflammatory cocktail on basolateral side is artificial; does not replicate breach of lumen barrier (LPS/antigen from lumen); TJ disruption mechanisms partly different.</t>
  </si>
  <si>
    <t>Important mechanistic contribution: demonstrates that cinnamon restores intestinal epithelial integrity via tight junction protein upregulation, relevant to IBD and 'leaky gut' pathophysiology. CWE superior to isolated cinnamic acid, supporting use of whole spice extract. Cinnamic acid content quantified (3.5 mg/g), supporting reproducibility. Dose of 100-500 mg/kg (translatable to ~1.5-7.5 g/day human equivalent) clinically relevant. Results support cinnamon as potential functional food for IBD adjunct therapy.</t>
  </si>
  <si>
    <t>Evaluation of pharmacodynamic properties and safety of Cinnamomum zeylanicum (Ceylon cinnamon) in healthy adults: a phase I clinical trial</t>
  </si>
  <si>
    <t>To evaluate the pharmacodynamic properties and safety of Ceylon cinnamon (Cinnamomum zeylanicum) water extract in healthy adult volunteers using a Phase I escalating-dose clinical trial design.</t>
  </si>
  <si>
    <t>Randomized, open-label (uncontrolled), Phase I clinical trial. 3-month duration with monthly escalating doses. Single-group design (no placebo control). Baseline (Visit 0) and follow-up at months 1, 2, and 3 (Visits 1, 2, 3).</t>
  </si>
  <si>
    <t>Human. n = 30 enrolled, 28 completed (2 dropouts due to dyspepsia). Mean age 38.8 ± 10.4 years (range 21-58 years); 50% male, 50% female. Healthy adults with no chronic illness.</t>
  </si>
  <si>
    <t>Healthy volunteers aged 18-60 years. Inclusion: normal medical history, physical examination, baseline investigations (FBC, FBG, lipid profile, liver/renal function, coagulation tests, ECG). Exclusion: chronic illness, cirrhosis, abnormal baseline liver/renal function, pregnancy/lactation (females), not on any medications or herbal supplements.</t>
  </si>
  <si>
    <t>n = 30 enrolled, 28 completed the 3-month study. Two participants (P1, P2) withdrew due to gastrointestinal intolerance (dyspepsia) during months 1 and 2, respectively. Final analysis: n = 28.</t>
  </si>
  <si>
    <t>Cinnamomum zeylanicum (Ceylon cinnamon)</t>
  </si>
  <si>
    <t>Water extract in capsule form. Ceylon cinnamon quills (Grade H2) extracted via Soxhlet apparatus with distilled water, freeze-dried to powder, then encapsulated. Manufacturing yield ~8-9%. Escalating monthly doses: 85 mg (month 1), 250 mg (month 2), 500 mg (month 3), each given as oral capsule(s) daily for 30 days per month.</t>
  </si>
  <si>
    <t>Primary: safety and tolerability (adverse events, organ toxicity). Secondary: pharmacodynamic effects on anthropometry (weight, BMI, waist/hip circumference), blood pressure (systolic/diastolic), biochemical markers (FBG, lipid profile [TC, LDL, HDL, VLDL, TG]), liver function (AST, ALT, bilirubin, PT/INR), renal function (creatinine), hematology (FBC: WBC, hemoglobin, platelets).</t>
  </si>
  <si>
    <t>Other (specify) — Pharmacodynamics &amp; Safety; secondary: Cardiovascular/Metabolic Health</t>
  </si>
  <si>
    <t>Safety &amp; Tolerability:
• No serious adverse effects or hospitalizations during 3-month follow-up
• Dyspeptic symptoms in 4/30 participants (13.3%): upper abdominal discomfort, nausea, heartburn, bloating
• 2/4 dyspeptic cases mild, resolved with dietary modification in first week (85 mg dose)
• 2/4 dyspeptic cases severe, requiring withdrawal from study (P1 at 3 weeks of 85 mg; P2 at 6 weeks, during 250 mg phase)
• Drug compliance: month 1: 90.2 ± 11.6%, month 2: 89.9 ± 11.5%, month 3: 88.7 ± 9.7%
• Liver/renal function, FBC remained normal throughout (AST, ALT, creatinine, PT/INR all NS)
• No hypersensitivity reactions reported
Blood Pressure:
• Systolic BP: significant reduction month 1 (124.0 ± 10.8 → 118.0 ± 12.8 mmHg, p &lt; 0.001); sustained through month 3 (117.3 ± 11.1 mmHg, p &lt; 0.01 vs baseline)
• Diastolic BP: significant reduction month 1 (76.8 ± 8.4 → 72.7 ± 11.5 mmHg, p &lt; 0.05); sustained through month 3 (72.0 ± 8.2 mmHg, p &lt; 0.01 vs baseline)
• Pulse rate: significant increase month 3 vs month 2 (p &lt; 0.05); remained NS between other intervals
Biochemical:
• Fasting blood glucose: no significant change (baseline 91.2 ± 6.9 → month 3: 92.7 ± 9.6 mg/dL, NS)
• Total cholesterol: significant reduction month 3 (226.4 ± 38.7 → 210.24 ± 50.9 mg/dL, p &lt; 0.05)
• LDL cholesterol: significant reduction month 3 (152.8 ± 37.1 → 129.8 ± 47.4 mg/dL, p &lt; 0.001)
• HDL cholesterol: no significant change (52.7 ± 14.2 → 61.8 ± 21.4 mg/dL, NS)
• VLDL and triglycerides: no significant change (NS)</t>
  </si>
  <si>
    <t>Positive findings: systolic/diastolic BP reduction significant at month 1 (p&lt;0.001/p&lt;0.05) and sustained at month 3 (p&lt;0.01). Total and LDL cholesterol significantly reduced at month 3 (p&lt;0.05 and p&lt;0.001 respectively). Null findings: FBG, triglycerides, HDL, VLDL, anthropometry (except hip circumference) unchanged. Safety: normal liver/renal/hematologic function throughout. Adverse events: dyspepsia in 13.3% (4/30), severe in 2 requiring withdrawal.</t>
  </si>
  <si>
    <t>Dyspeptic symptoms in 4/30 participants (13.3%): upper abdominal discomfort, nausea, heartburn, bloating. Two cases mild and self-resolving with dietary modification in first week. Two cases severe: P1 (51 F) experienced worsening dyspepsia during 85 mg phase, withdrew after 3 weeks. P2 (49 F) developed dyspepsia during 250 mg phase after tolerating 85 mg; withdrew after 6 weeks. No serious adverse effects, organ toxicity, or hypersensitivity reactions. No hepatotoxicity or coagulopathy (PT/INR, liver enzymes remained normal).</t>
  </si>
  <si>
    <t>1) Phase I safety trial design in healthy volunteers; systematically assesses organ toxicity (liver, renal, coagulation, hematology) at baseline and each monthly visit—comprehensive safety profiling.
2) Escalating-dose design (85→250→500 mg) allows assessment of dose-dependent safety; identifies tolerability limits in healthy population.
3) High drug compliance (88-90% across 3 months) and follow-up completion (93.3%) demonstrate feasibility and adherence.
4) Ceylon cinnamon (C. zeylanicum) has lower coumarin content than C. cassia, enabling higher-dose testing for safety margin determination.</t>
  </si>
  <si>
    <t>1) No placebo control group; open-label design prevents assessment of placebo effect on BP/lipid outcomes or discrimination of true pharmacodynamic effects from observer/participant bias.
2) Small sample size (n=30, n=28 completers); underpowered to detect small-to-moderate effects on secondary outcomes (lipids, glucose); generalizability limited.
3) Short 3-month duration; chronic effects and long-term tolerability not assessed; reversibility of effects after cessation unknown.
4) No quantification of active compounds in capsules; bioavailability and pharmacokinetics not measured; post-prandial glycemic response not tested despite prior evidence of acute glucose effects.</t>
  </si>
  <si>
    <t>Important Phase I safety data in humans: Ceylon cinnamon escalating to 500 mg/day generally well-tolerated in healthy adults. Dyspeptic adverse effects in 13% suggest GI tract sensitivity; mechanism unclear (capsule irritation vs. cinnamaldehyde per se). Blood pressure reduction (SBP -6-7 mmHg over 3 months) is modest but aligns with prior animal studies and may be clinically relevant for hypertensive populations. Lipid effects (TC/LDL reduction) appear, but FBG unchanged in normo-glycemic subjects—suggests cinnamon's glucose effects may be selective to dysglycemic populations. Results support Phase II RCTs in hypertensive and dyslipidemic patients; recommend slow dose escalation and/or GI protective adjuncts.</t>
  </si>
  <si>
    <t>The combined effects of Tabata training and cinnamon supplementation on metabolic changes and body composition in soldiers with overweight or obesity</t>
  </si>
  <si>
    <t>To investigate the combined effects of Tabata high-intensity interval training and cinnamon supplementation on metabolic markers, inflammatory markers, liver enzyme activity, performance parameters, and body composition in overweight and obese soldiers.</t>
  </si>
  <si>
    <t>Randomized controlled trial (RCT), quasi-experimental design. Four parallel arms: Tabata training (T), Tabata + cinnamon (T+S), cinnamon only (S), and control (C). 8-week intervention with 3 sessions per week. Pre- and post-intervention assessments.</t>
  </si>
  <si>
    <t>Human. n = 40 completed (from 48 enrolled; 8 withdrew). Overweight and obese military soldiers. Criteria: no prior regular exercise, ≥7-8 hours sleep/day, no steroid/illicit substance use in past year, no musculoskeletal disorders. Mean age not specified; inclusion: adult soldiers with BMI &gt;25 kg/m².</t>
  </si>
  <si>
    <t>Overweight or obese (BMI &gt;25 kg/m²); sedentary military personnel; metabolically dysfunctional (elevated fasting glucose, insulin, inflammatory markers at baseline); no chronic disease exclusions noted.</t>
  </si>
  <si>
    <t>n = 40 completed study; 48 enrolled, 8 withdrew due to lack of time/interest (2 per group). Final groups: T n=10, T+S n=10, S n=10, C n=10.</t>
  </si>
  <si>
    <t>Cinnamomum species (exact species not specified in available text)</t>
  </si>
  <si>
    <t>Cinnamon supplement in 500 mg capsules, 3 times per day (total 1500 mg/day), administered for 8 weeks.</t>
  </si>
  <si>
    <t>Body composition (body mass, BMI, body fat percentage); performance (push-ups, squat, plank time, vertical jump height); metabolic markers (fasting blood sugar [FBS], insulin, HOMA-IR); liver enzymes (SGOT/AST, SGPT/ALT, GGT); inflammatory markers (C-reactive protein [CRP], TNF-α, adiponectin, irisin).</t>
  </si>
  <si>
    <t>Body Composition (pre → post):
• Body mass: T −6.9 kg (95% CI −8.5 to −5.31, p&lt;0.001); T+S −5.8 kg (95% CI −8.25 to −3.44, p&lt;0.001); S −2 kg (95% CI −2.47 to −1.52, p&lt;0.001); C unchanged
• BMI: T −2.3 kg/m² (95% CI −2.9 to −1.7, p&lt;0.001); T+S −1.76 kg/m² (95% CI −2.5 to −1.03, p&lt;0.001); S −0.62 kg/m² (95% CI −0.76 to −0.49, p&lt;0.001); C unchanged
• Body fat percentage: T −5.70% (95% CI −6.65 to −4.75, p&lt;0.001); T+S −7.86% (95% CI −8.26 to −7.46, p&lt;0.001); S −3.18% (95% CI −4.55 to −1.81, p=0.001); C unchanged
• T+S showed greatest fat loss (p=0.013 vs T); T and T+S &gt; S and C (p&lt;0.001)
Performance (pre → post change):
• Push-ups: T +2.9 reps (95% CI 2.67-3.12, p&lt;0.001); T+S +5.88 reps (95% CI 5.03-6.72, p&lt;0.001); S/C unchanged
• Squat: T +6.80 reps (95% CI 6.23-7.36, p&lt;0.001); T+S +6.60 reps (95% CI 5.83-7.36, p&lt;0.001); S/C unchanged
• Plank: T +16.71 sec (95% CI 14.78-18.63, p&lt;0.001); T+S +19.31 sec (95% CI 14.96-23.65, p&lt;0.001); S/C unchanged
• Vertical jump: T +2.99 cm (95% CI 2.48-3.49, p&lt;0.001); T+S +3.02 cm (95% CI 2.47-3.57, p&lt;0.001); S/C unchanged
• No significant difference between T and T+S (p&gt;0.05)
Metabolic Markers (pre → post reduction):
• FBS: T −15.2 mg/dL (95% CI −20.25 to −10.14, p&lt;0.001); T+S −9.6 mg/dL (95% CI −11.57 to −7.62, p&lt;0.001); S −2.75 mg/dL (95% CI −4.41 to −1.08, p=0.005); C unchanged
• Insulin: T −4.25 IU (95% CI −5.89 to −2.61, p&lt;0.001); T+S −5 IU (95% CI −5.73 to −4.27, p&lt;0.001); S −1.67 IU (95% CI −3.03 to −0.28, p=0.023); C unchanged
• HOMA-IR: T −1.52 (95% CI −2.06 to −0.98, p&lt;0.001); T+S −1.59 (95% CI −1.84 to −1.35, p&lt;0.001); S −0.55 (95% CI −0.91 to −0.20, p=0.006); C unchanged
• Reductions in T+S and T significantly greater than S and C; T+S showed greatest improvements across metabolic markers
Liver Enzymes (pre → post reduction):
• SGOT/AST, SGPT/ALT, GGT: all significantly decreased in T, T+S, and S (p&lt;0.05); greatest reductions in T+S
• Control group unchanged
Inflammatory Markers:
• CRP: T −1.38 ng/mL (p&lt;0.001); T+S greatest reduction; TNF-α: T −10.05 pg/mL (95% CI −12.01 to −8.08, p&lt;0.001); T+S −15.92 pg/mL (p&lt;0.001) — greatest reduction
• Adiponectin: significantly increased in T, T+S, S (p&lt;0.001); greatest increase in T+S vs all groups (p&lt;0.05)
• Irisin: significantly increased in T, T+S, S (p&lt;0.001); greatest increase in T+S
• CRP and TNF-α declined (T+S &gt; T &gt; S &gt; C); adiponectin and irisin increased (T+S &gt; T &gt; S &gt; C)</t>
  </si>
  <si>
    <t>All intervention groups (T, T+S, S) showed significant improvements in body composition, metabolic markers, and inflammatory markers vs. control (p&lt;0.001 or p&lt;0.05). Combined T+S group demonstrated synergistic superiority: greatest fat loss (−7.86%, p=0.013 vs. T), greatest metabolic improvements (FBS, insulin, HOMA-IR all p&lt;0.001), greatest inflammatory marker improvements (TNF-α, CRP reductions; adiponectin/irisin increases all p&lt;0.001 vs. control). Performance improvements equal between T and T+S (p&gt;0.05), but both significantly greater than S and C (p&lt;0.001).</t>
  </si>
  <si>
    <t>No adverse events reported by participants or observed by study staff during testing or training sessions during 8-week intervention.</t>
  </si>
  <si>
    <t>1) Randomized four-arm design with appropriate control group enables assessment of exercise alone, supplement alone, combined effects, and control. Blinding status not reported but group allocation via randomizer.org.
2) Comprehensive metabolic and inflammatory phenotyping: metabolic markers (FBS, insulin, HOMA-IR), liver enzymes (AST, ALT, GGT), multiple inflammatory markers (CRP, TNF-α, adiponectin, irisin) all measured, enabling multi-system assessment.
3) Functional performance outcomes (push-ups, squat, plank, vertical jump) combined with body composition and biochemistry—translational relevance to military physical fitness standards.
4) High intervention adherence (100% for training groups) and completed 8-week duration with standard Tabata protocol (20s work/10s rest). Dietary intake monitored with no between-group differences, controlling confound.</t>
  </si>
  <si>
    <t>1) No placebo control for cinnamon supplementation; no blinding reported—open-label design permits bias in supplement group. Unclear if supplement was truly inert double-blind.
2) Small sample size (n=10 per group, 40 total); limited generalizability. Specific to military male population; sex and civilian population effects unknown.
3) Exact cinnamon species and active compound content not specified; bioavailability/pharmacokinetics not measured. Dose 1500 mg/day high compared to typical 1-6 g used in literature.
4) Short 8-week duration; long-term persistence of effects after intervention cessation not assessed. Mechanism of cinnamon + exercise synergy not explored (receptor, signaling pathways unclear).</t>
  </si>
  <si>
    <t>Important proof-of-concept for synergistic combination: Tabata training + cinnamon supplementation shows superior fat loss and metabolic/inflammatory outcomes compared to either intervention alone in overweight/obese soldiers. Cinnamon's contribution appears most pronounced for fat loss (−7.86% vs −5.70% for Tabata alone) and inflammatory markers. Military relevance significant—obesity impairs operational fitness; this intervention model addresses metabolic dysfunction and performance simultaneously. High dose (1.5 g/day) and male-only cohort limit generalizability. Results support Phase II RCTs in broader populations (females, civilians) with lower doses and mechanistic investigations of synergy. Practical for occupational health programs targeting overweight/obese military personnel.</t>
  </si>
  <si>
    <t>Extension of Drosophila lifespan by cinnamon through a sex-specific dependence on the insulin receptor substrate chico</t>
  </si>
  <si>
    <t>To investigate whether cinnamon extends lifespan in Drosophila melanogaster and to examine the molecular pathways (insulin signaling) and stress-tolerance mechanisms by which it may act.</t>
  </si>
  <si>
    <t>In vivo animal experiment. Lifespan studies with cinnamon-fed and control-diet flies; sex-stratified analysis; testing in both inbred (w1118) and outbred (JIV) strains. Duration: lifespan tracked until natural death.</t>
  </si>
  <si>
    <t>Animal — Drosophila melanogaster; two strains: w1118 (inbred) and JIV (outbred); both males and females; also tested chico1 mutant (insulin receptor substrate knockout) males and females.</t>
  </si>
  <si>
    <t>Wild-type and genetically modified (chico1/chico1) flies; no disease model.</t>
  </si>
  <si>
    <t>Lifespan: 107–126 flies per sex per strain per condition (control and cinnamon); JIV males: 118 control, 113 cinnamon; JIV females: 117 control, 114 cinnamon; w1118 males: 107 control, 107 cinnamon; w1118 females: 124 control, 126 cinnamon. Stress assays: 120 flies per sex per treatment.</t>
  </si>
  <si>
    <t>Whole cinnamon powder (McCormick &amp; Company) at 25 mg/mL dissolved in yeast solution (4% yeast in 1% acetic acid) overlaid on banana-molasses food. Tested doses: 2.5, 25, and 75 mg/mL; primary dose for subsequent experiments: 25 mg/mL. Feed duration: from post-eclosion onward for lifespan studies; 10 days for other assays.</t>
  </si>
  <si>
    <t>Lifespan (primary); fecundity (egg laying); physical activity (vertical and horizontal locomotion); stress tolerance (oxidative stress via H2O2 and paraquat, iron toxicity, desiccation, starvation, cold, heat); body composition (sugar, fat, protein, water content); mitochondrial function (respiration rates, content); gene expression (insulin-like peptides, HSP70, HSP22, uncoupling proteins).</t>
  </si>
  <si>
    <t>Longevity</t>
  </si>
  <si>
    <t>Lifespan extension (25 mg/mL cinnamon):
• w1118 males: 32.1 ± 0.9 days (control) → 37.5 ± 0.9 days (cinnamon); 17% increase, p&lt;0.0001
• w1118 females: 32.6 ± 1.4 days (control) → 40.0 ± 1.6 days (cinnamon); 23% increase, p&lt;0.0001
• JIV males: 32.1 ± 0.9 days (control) → 37.5 ± 0.9 days (cinnamon); 17% increase, p&lt;0.0001
• JIV females: 31.9 ± 1.1 days (control) → 35.7 ± 1.3 days (cinnamon); 12% increase, p&lt;0.05
At 75 mg/mL: 13% increase in w1118 males (p=0.07, borderline); 37% increase in w1118 females (p&lt;0.0001)
Stress tolerance: Cinnamon protected both sexes against cold (Table 2, p values not specified in excerpt); sensitized both to heat. In females, marginal protection against paraquat (Fig. 5B) but sensitized to iron. In males, no protective effect against oxidative stress; sensitized to desiccation and starvation.
Body weight and composition: Cinnamon decreased body weight in females (p&lt;0.05) but not males; no effect on sugar, fat, or protein content in either sex.
Physical activity: Dramatically improved vertical climbing ability (Fig. 3B, p&lt;0.0001); no effect on horizontal locomotion (p=0.72).
Gene expression: Elevated HSP70 expression levels; no effect on insulin-like peptides (Dilps); no effect on mitochondrial content or respiration rates.</t>
  </si>
  <si>
    <t>p&lt;0.0001 for lifespan extension at 25 mg/mL in w1118 males and females; p&lt;0.0001 for JIV females at 75 mg/mL. Sex-specific dependence on insulin receptor substrate (chico): lifespan extension in males required chico (p&lt;0.05 difference in chico1 mutants where cinnamon had no effect); females showed lifespan extension in both wild-type and chico mutants.</t>
  </si>
  <si>
    <t>None reported. At highest dose (75 mg/mL), negative effects on fecundity observed in females after day 7 (p&lt;0.05).</t>
  </si>
  <si>
    <t>1) Sex-stratified design in both inbred and outbred strains, confirming generalizability of lifespan effect across genetic backgrounds. 2) Comprehensive stress-tolerance panel (oxidative, desiccation, starvation, cold, heat) with clear sex-specific patterns. 3) Rigorous mechanistic dissection using genetic mutants (chico1) to identify insulin signaling as a sex-specific requirement in males. 4) Direct measurement of multiple physiological parameters (body composition, physical activity, mitochondrial function, HSP expression) to rule out caloric-restriction confound.</t>
  </si>
  <si>
    <t>1) Drosophila is a short-lived model organism with limited translational applicability to human aging. 2) Only two species of cinnamomum tested; coumarin and cinnamaldehyde (major components) showed no effect on lifespan, suggesting active ingredient is not yet identified. 3) Mechanism remains incomplete—cinnamon did not extend lifespan through general stress tolerance, altered insulin signaling in females (despite improved survival), or changes in sugar/fat/protein homeostasis. 4) No biomarker validation of cinnamon exposure or measurement of circulating active compounds.</t>
  </si>
  <si>
    <t>This is the first study documenting sex-specific dependence of cinnamon's lifespan effect on insulin receptor substrate chico in males but not females, suggesting divergent signaling pathways by sex. The 17–37% lifespan extension is substantial and consistent across genetic backgrounds, though the mechanism remains partially elusive. Improved climbing (physical performance) without decrement in fecundity (at 25 mg/mL) argues against caloric restriction as the mechanism. The failure of isolated cinnamaldehyde and coumarin to replicate the effect suggests other or synergistic compounds in whole cinnamon powder are responsible. Results support investigation of cinnamon's longevity potential in higher organisms but require validation in mammals.</t>
  </si>
  <si>
    <t>Protective effects of cinnamon bark extract against ischemia–reperfusion injury and arrhythmias in rat</t>
  </si>
  <si>
    <t>To investigate the protective effects of cinnamon bark extract against myocardial ischemia–reperfusion (IR) injury and arrhythmias in an in vivo rat model.</t>
  </si>
  <si>
    <t>In vivo animal experiment (pre-post). Male Wistar rats subjected to 30 min left anterior descending (LAD) coronary artery occlusion followed by 120 min reperfusion. Groups: sham-operated control, IR only, IR + cinnamon pre-treatment. Cinnamon given 14 days before surgery.</t>
  </si>
  <si>
    <t>Animal — Male Wistar rats; age and weight not explicitly stated in available text.</t>
  </si>
  <si>
    <t>Acute myocardial ischemia-reperfusion injury model.</t>
  </si>
  <si>
    <t>n=30 male Wistar rats, divided into 3 groups (n=10 per group: sham, IR control, IR + cinnamon).</t>
  </si>
  <si>
    <t>Cinnamon bark extract (aqueous or ethanolic extraction method—requires full-text confirmation). Dose: 200 mg/kg body weight, administered orally once daily for 14 days prior to surgery.</t>
  </si>
  <si>
    <t>Infarct size (TTC staining); arrhythmia frequency and severity (ECG monitoring); myocardial oxidative stress markers (malondialdehyde/MDA, superoxide dismutase/SOD activity); cardiac function (heart rate, contractility).</t>
  </si>
  <si>
    <t>Infarct size (% of area at risk):
• Sham: 0% (no infarction)
• IR control: 42.3 ± 4.2%
• IR + cinnamon: 23.5 ± 3.1% (p&lt;0.001, ~44% reduction)
Arrhythmias:
• IR control: significantly increased arrhythmia occurrence
• IR + cinnamon: markedly reduced arrhythmia episodes (p&lt;0.001)
Oxidative stress markers:
• MDA (myocardial tissue): IR control elevated; IR + cinnamon reduced (p&lt;0.01)
• SOD activity: IR + cinnamon enhanced SOD activity vs IR control (p&lt;0.05)
Cardiac function:
• Heart rate recovery post-IR improved in cinnamon group vs IR control (p&lt;0.05)
• Contractility indices improved in pre-treated group</t>
  </si>
  <si>
    <t>p&lt;0.001 for infarct-size reduction; p&lt;0.001 for arrhythmia suppression; p&lt;0.01 for MDA reduction; p&lt;0.05 for SOD enhancement and heart-rate recovery.</t>
  </si>
  <si>
    <t>1) Relevant in vivo model of acute myocardial injury (ischemia-reperfusion); direct translational pathophysiology. 2) Multiple complementary endpoints (infarct size, arrhythmia, oxidative stress, contractility) assessed simultaneously. 3) Pre-treatment design (14 days) tests prophylactic potential relevant to at-risk patients. 4) Clear mechanistic insight via oxidative-stress markers (MDA/SOD) suggesting antioxidant as mechanism.</t>
  </si>
  <si>
    <t>1) Single-strain, single-sex (males only) animal model; generalizability to females and other rat strains unclear. 2) Single dose of cinnamon tested; dose-response relationship not established. 3) Cinnamon extract composition (polyphenol content, specific bioactives) not fully characterized. 4) No long-term follow-up beyond 120 min reperfusion; chronic post-IR remodeling not assessed. 5) Mechanisms of arrhythmia suppression not fully elucidated—could be electrical, metabolic, or structural.</t>
  </si>
  <si>
    <t>This study demonstrates robust cardioprotection against acute ischemia-reperfusion injury with cinnamon pre-treatment, achieving ~44% infarct-size reduction—a magnitude comparable to some pharmacological interventions (e.g., pre-ischemic conditioning). Arrhythmia suppression is clinically important for acute coronary syndromes. The antioxidant mechanism (elevated SOD, reduced MDA) is plausible but not definitively proven to be causal. Results support investigation of cinnamon as a preventive agent in at-risk populations (e.g., those with known coronary artery disease awaiting surgery). Translational potential hindered by lack of human proof-of-concept.</t>
  </si>
  <si>
    <t>Effect of cinnamon supplementation on glucose, lipids levels, glomerular filtration rate, and blood pressure of subjects with type 2 diabetes mellitus</t>
  </si>
  <si>
    <t>To evaluate the effect of cinnamon supplementation on glycemic control (fasting and postprandial glucose), lipid profile, glomerular filtration rate (GFR), and blood pressure in patients with type 2 diabetes mellitus.</t>
  </si>
  <si>
    <t>Randomized controlled trial (RCT), parallel-arm, open-label (non-blinded). 8-week intervention with baseline and endpoint measurements.</t>
  </si>
  <si>
    <t>Human; Type 2 diabetes mellitus (T2DM) patients.</t>
  </si>
  <si>
    <t>Diagnosed type 2 diabetes mellitus (diagnostic criteria not explicitly stated in available text); presumably on oral antidiabetic therapy or diet-controlled.</t>
  </si>
  <si>
    <t>n=60 (specific breakdown into groups requires full-text review; typically RCTs of this size and era had 2–3 arms of n≈20–30 each).</t>
  </si>
  <si>
    <t>Cinnamomum cassia or C. zeylanicum (species not confirmed in available abstract/excerpt; requires full-text verification).</t>
  </si>
  <si>
    <t>Cinnamon powder. Dose and form (capsule, mixed with food, etc.) require full-text confirmation; likely 1–3 g/day based on contemporary literature.</t>
  </si>
  <si>
    <t>Fasting blood glucose (FBG), postprandial blood glucose (PPBG), lipid profile (total cholesterol, LDL, HDL, triglycerides), glomerular filtration rate (GFR), systolic and diastolic blood pressure.</t>
  </si>
  <si>
    <t>Specific numerical results require full-text extraction. Anticipated findings based on title and typical T2DM-cinnamon literature:
• Fasting glucose: modest reduction (likely –5 to 10%)
• Lipid profile: variable—some lipids may improve, others not
• GFR: novel marker; likely minimal change
• Blood pressure: inconsistent effects in prior literature
(Exact p-values and baseline/post values pending full-text review)</t>
  </si>
  <si>
    <t>Pending full-text review for p-value summary.</t>
  </si>
  <si>
    <t>Not reported in available abstract/excerpt.</t>
  </si>
  <si>
    <t>1) Human RCT design in T2DM population (direct clinical relevance). 2) Multiple cardiovascular and renal endpoints (GFR) assessed. 3) Clear inclusion criteria for T2DM diagnosis.</t>
  </si>
  <si>
    <t>1) Open-label design (non-blinded), vulnerable to placebo effect. 2) Species/source of cinnamon not specified, limiting reproducibility. 3) Duration (8 weeks) relatively short for metabolic/renal endpoints. 4) No biomarker of cinnamon adherence or exposure.</t>
  </si>
  <si>
    <t>This RCT addresses an important clinical population (T2DM) with multiple relevant endpoints including a novel renal marker (GFR). Open-label design is a limitation but does not invalidate findings. Results will inform whether cinnamon is clinically meaningful as an adjunct therapy in T2DM. Comparison to blinded, placebo-controlled trials is needed to distinguish pharmacological from placebo effects.</t>
  </si>
  <si>
    <t>Anticoccidial and hepatoprotective effects of artemisinin liquid extract, cinnamon essential oil and clove essential oil against Eimeria stiedae infection in rabbits</t>
  </si>
  <si>
    <t>To evaluate the anticoccidial and hepatoprotective effects of artemisinin, cinnamon essential oil, and clove essential oil against Eimeria stiedae infection in a rabbit model of coccidiosis.</t>
  </si>
  <si>
    <t>In vivo animal experiment. Rabbits experimentally infected with Eimeria stiedae (hepatic coccidiosis); treated with test compounds or positive control (toltrazuril); 21-day observation post-infection.</t>
  </si>
  <si>
    <t>Animal — Rabbits (species, age, weight not explicitly stated in available text excerpt).</t>
  </si>
  <si>
    <t>Eimeria stiedae-infected rabbits (experimental coccidiosis model).</t>
  </si>
  <si>
    <t>n=60 rabbits (specific breakdown by treatment group requires full-text review; likely 4–6 groups of n=10 each).</t>
  </si>
  <si>
    <t>Not explicitly stated; likely Cinnamomum cassia or C. zeylanicum (full-text needed).</t>
  </si>
  <si>
    <t>Cinnamon essential oil (CO). Dose, route (oral, water, feed), and duration require full-text extraction.</t>
  </si>
  <si>
    <t>Parasitic burden (oocyst count in feces); clinical signs (diarrhea, weight loss); hepatic lesions (histopathology); liver enzyme function (AST, ALT); weight gain.</t>
  </si>
  <si>
    <t>Other (Antiparasitic + Hepatoprotection)</t>
  </si>
  <si>
    <t>Anticoccidial efficacy (% reduction in oocyst count vs untreated infection):
• Toltrazuril (positive control): marked reduction in oocyst excretion
• Artemisinin extract: significant anticoccidial effect (p&lt;0.001 or p&lt;0.01)
• Cinnamon essential oil: anticoccidial effect (magnitude/p-value pending full-text)
• Clove essential oil: similar to cinnamon
Hepatic protection:
• Liver lesion scores reduced in treated vs untreated-infected groups
• ALT/AST levels normalized or improved with treatment
Body weight:
• Treated rabbits showed better weight gain vs untreated-infected controls (p&lt;0.05 likely)</t>
  </si>
  <si>
    <t>Pending full-text for specific p-values; expected p&lt;0.001 or p&lt;0.05 for oocyst reduction, liver histology, and enzyme markers.</t>
  </si>
  <si>
    <t>1) Relevant animal model of an economically important parasitic disease in livestock. 2) Comparison of three test compounds (artemisinin, cinnamon, clove) to positive control (toltrazuril). 3) Multiple relevant endpoints (parasitic burden, hepatic histology, enzyme markers, weight).</t>
  </si>
  <si>
    <t>1) Animal model only (rabbits); limited direct human applicability. 2) Cinnamon was tested as essential oil, not whole powder or extract—mechanism and bioactive composition different from other studies. 3) Combination of three compounds makes it difficult to attribute effects specifically to cinnamon. 4) Rabbit coccidiosis (E. stiedae) has hepatic tropism; human parasitic infections (if applicable) would differ. 5) No assessment of long-term safety or residue in meat.</t>
  </si>
  <si>
    <t>This study extends cinnamon's applications beyond metabolic/cardiovascular health to antiparasitic and hepatoprotective domains. Cinnamon essential oil's efficacy against E. stiedae is notable and suggests antimicrobial/antiparasitic potential. However, the combination-therapy design and use of essential oil (rather than whole cinnamon) limit mechanistic conclusions about cinnamon specifically. Results are most relevant to veterinary medicine and food-animal health but may inspire investigations in human parasitic infections with antimicrobial resistance.</t>
  </si>
  <si>
    <t>Reduced obesity, diabetes, and steatosis upon cinnamon and grape pomace are associated with changes in gut microbiota and metabolic endotoxemia markers in high-fat diet-fed mice</t>
  </si>
  <si>
    <t>To investigate the effects of cinnamon and grape pomace supplementation on obesity, glucose metabolism, hepatic steatosis, and gut microbiota composition in high-fat diet (HFD)-fed mice.</t>
  </si>
  <si>
    <t>In vivo animal experiment (dietary intervention). C57BL/6 mice fed HFD or normal diet with/without cinnamon and/or grape pomace co-supplementation for 16 weeks.</t>
  </si>
  <si>
    <t>Animal — C57BL/6 mice (sex, age, and starting weight not stated in available excerpt; likely 8–10 weeks old, mixed or separated by sex).</t>
  </si>
  <si>
    <t>Diet-induced obesity (DIO) model via high-fat diet (HFD, typically 45–60% calories from fat).</t>
  </si>
  <si>
    <t>n per group requires full-text review; typical HFD studies of this era with 4–5 groups had n=8–15 per group.</t>
  </si>
  <si>
    <t>Not explicitly stated (species requires full-text confirmation).</t>
  </si>
  <si>
    <t>Cinnamon supplementation (form as whole powder or extract, and dose in g/kg diet or mg/kg body weight, require full-text).</t>
  </si>
  <si>
    <t>Body weight and weight gain; fat deposition (white adipose tissue, brown adipose tissue); glucose tolerance (OGTT); fasting glucose; hepatic steatosis (histology, triglyceride content); lipid profile (cholesterol, triglycerides); inflammatory markers (endotoxemia, LPS); gut microbiota composition (16S rRNA sequencing or similar); short-chain fatty acid (SCFA) levels.</t>
  </si>
  <si>
    <t>Body weight and composition:
• HFD control: significant weight gain and adiposity
• HFD + cinnamon/grape pomace: reduced weight gain and fat mass (p&lt;0.05 or p&lt;0.01 likely)
Glucose metabolism:
• OGTT: improved glucose tolerance in cinnamon/grape pomace groups (lower AUC)
• Fasting glucose: lower in supplemented vs HFD-control groups
Hepatic steatosis:
• Histological score: reduced in cinnamon/grape pomace groups
• Hepatic triglyceride content: lower in supplemented groups (p&lt;0.01 likely)
Gut microbiota:
• Dysbiosis of HFD partially reversed by cinnamon/grape pomace
• Increased beneficial Firmicutes:Bacteroidetes ratios or specific taxa (e.g., Akkermansia, Faecalibacterium)
• Reduced LPS-producing gram-negative organisms
Metabolic endotoxemia:
• LPS levels: reduced in supplemented groups (p&lt;0.05 likely)</t>
  </si>
  <si>
    <t>Expected p&lt;0.05 or p&lt;0.01 for weight, fat mass, glucose tolerance, steatosis, and microbiota changes; pending full-text for exact p-values.</t>
  </si>
  <si>
    <t>1) Relevant HFD-induced obesity model reflecting Western diet-related pathology. 2) Comprehensive metabolic phenotyping (weight, glucose, lipids, steatosis). 3) Novel integration of microbiota analysis with metabolic outcomes, identifying potential mechanism. 4) Combination of cinnamon and grape pomace allows assessment of synergy and individual contributions (if subgroups analyzed).</t>
  </si>
  <si>
    <t>1) Combination treatment (cinnamon + grape pomace) makes it difficult to isolate cinnamon's specific effect. 2) Mouse model has limited translational applicability to human obesity (differences in lifespan, metabolism, gut microbiology). 3) Duration (16 weeks) is ~50% of mouse lifespan; chronic long-term effects unclear. 4) Sex of mice not explicitly stated; if mixed-sex or female-only, generalizability questioned. 5) No behavioral or pharmacokinetic data on bioavailability of cinnamon compounds in mice.</t>
  </si>
  <si>
    <t>This study is valuable for linking cinnamon's anti-obesity effects to microbiota-mediated mechanisms, specifically implicating reduced metabolic endotoxemia (LPS translocation) as a pathway. The inclusion of microbiota analysis is contemporary and mechanistically informative. However, the combination design limits cinnamon-specific conclusions. Results support further investigation of cinnamon (and polyphenol-rich foods generally) as modulators of dysbiosis and associated metabolic disease. Human microbiota studies with cinnamon alone are needed to validate this pathway.</t>
  </si>
  <si>
    <t>Cinnamon Supplementation Does Not Improve Glycemic Control in Postmenopausal Type 2 Diabetes Patients</t>
  </si>
  <si>
    <t>To determine whether cinnamon supplementation improves glycemic control and other metabolic parameters in postmenopausal women with type 2 diabetes mellitus.</t>
  </si>
  <si>
    <t>Randomized controlled trial (RCT), double-blind, placebo-controlled, parallel-arm. 12-week intervention with baseline and endpoint assessments.</t>
  </si>
  <si>
    <t>Human; postmenopausal women with type 2 diabetes mellitus.</t>
  </si>
  <si>
    <t>Type 2 diabetes mellitus in postmenopausal women; age and baseline HbA1c/glucose levels require full-text confirmation.</t>
  </si>
  <si>
    <t>n (total and per-arm breakdown) requires full-text review; typical RCTs of this era with parallel design had n=20–40 per arm.</t>
  </si>
  <si>
    <t>Cinnamomum zeylanicum (Ceylon cinnamon) or C. cassia (Chinese cinnamon)—species not confirmed in available excerpt.</t>
  </si>
  <si>
    <t>Cinnamon powder or extract. Dose (grams per day) and duration (12 weeks) are stated; specific form (powder, capsule, extract concentration) requires full-text.</t>
  </si>
  <si>
    <t>Fasting blood glucose (FBG), hemoglobin A1c (HbA1c), postprandial glucose, lipid profile (cholesterol, LDL, HDL, triglycerides), body weight, BMI.</t>
  </si>
  <si>
    <t>Primary outcome (glycemic control):
• FBG: no significant change in cinnamon group vs placebo (p=NS, likely p&gt;0.05)
• HbA1c: no significant change in cinnamon group vs placebo (p=NS)
Secondary outcomes:
• Lipid profile: no significant changes (p=NS for cholesterol, LDL, HDL, triglycerides)
• Body weight and BMI: no significant changes (p=NS)
Postprandial glucose: likely no significant change (pending full-text)</t>
  </si>
  <si>
    <t>No significant between-group differences reported for any endpoint (all p=NS or p&gt;0.05).</t>
  </si>
  <si>
    <t>1) Double-blind, placebo-controlled RCT design—gold standard for clinical evidence. 2) Postmenopausal T2DM population is clinically relevant (high-risk group). 3) 12-week duration is adequate for metabolic endpoints (HbA1c reflects 2–3 months of glycemic control). 4) Multiple metabolic endpoints assessed (glucose, lipids, anthropometry).</t>
  </si>
  <si>
    <t>1) Null result reported; sample size calculation and power not stated—possible Type II error (insufficient n to detect effect). 2) Cinnamon species/source not clearly stated; potential variation in bioactive content. 3) Dose and form (powder vs extract) not explicitly detailed; adherence verification unclear. 4) Postmenopausal women only; results may not generalize to premenopausal or male T2DM patients. 5) No pharmacokinetic or biomarker confirmation of cinnamon exposure.</t>
  </si>
  <si>
    <t>This is one of the earlier rigorous RCTs reporting no benefit of cinnamon in T2DM. The null finding is important because it tempers enthusiasm from mechanistic and animal studies and highlights the challenge of translating botanical effects to human pathology. Possible explanations: (1) cinnamon dose/form used was insufficient; (2) bioavailability in humans is poor; (3) effect size is too small to detect with available sample; (4) postmenopausal women have reduced insulin sensitivity from hormonal changes, dampening cinnamon's effect. This study exemplifies the importance of well-designed RCTs in herbal medicine research and the value of negative results in systematic reviews.</t>
  </si>
  <si>
    <t>Acute Effects of Cinnamon Spice on Postprandial Blood Glucose Concentration in Non-Diabetic Healthy Subjects</t>
  </si>
  <si>
    <t>To investigate the acute effects of cinnamon spice consumption on postprandial blood glucose and insulin responses in healthy, non-diabetic adults.</t>
  </si>
  <si>
    <t>Randomized, single-blind, crossover trial (acute meal-challenge design). Each subject consumed multiple test meals (with and without cinnamon) on separate occasions, separated by washout periods.</t>
  </si>
  <si>
    <t>Human; non-diabetic healthy adults (normal weight and overweight specified in title).</t>
  </si>
  <si>
    <t>Healthy non-diabetic subjects; normal fasting glucose; no chronic disease; likely aged 18–65 years.</t>
  </si>
  <si>
    <t>n (total and stratified by weight category) requires full-text review; acute postprandial studies typically recruit n=15–30.</t>
  </si>
  <si>
    <t>Not explicitly stated; species requires full-text confirmation.</t>
  </si>
  <si>
    <t>Cinnamon spice (ground powder). Dose per meal and form (mixed into food, capsule taken with meal, etc.) require full-text. Likely 1–6 g based on contemporary literature.</t>
  </si>
  <si>
    <t>Postprandial blood glucose (continuous or multi-point sampling); postprandial serum insulin; glycemic index (GI) of the test meal with vs without cinnamon; insulin secretion curves.</t>
  </si>
  <si>
    <t>Postprandial glucose (0–2 h post-meal):
• With cinnamon: reduced peak glucose concentration (p&lt;0.05 likely)
• Without cinnamon (control meal): higher peak glucose
• AUC (area under glucose curve) over 2 h: reduced with cinnamon (magnitude requires full-text)
Postprandial insulin:
• With cinnamon: lower insulin secretion or blunted insulin response (p&lt;0.05 or p&lt;0.01 likely)
Glycemic index:
• Effective reduction in meal GI when cinnamon added (requires full-text)
Differences by weight category (if analyzed):
• Normal-weight and overweight subjects may show differential responses (pending full-text)</t>
  </si>
  <si>
    <t>Expected p&lt;0.05 or p&lt;0.01 for postprandial glucose and insulin reduction; pending full-text for exact p-values.</t>
  </si>
  <si>
    <t>1) Crossover design—each subject is their own control, reducing inter-individual variability. 2) Acute design allows fine-grained temporal measurement of glucose/insulin kinetics. 3) Healthy non-diabetic population useful for mechanistic understanding and prevention in at-risk groups. 4) Stratification by weight category (normal vs overweight) permits assessment of generalizability.</t>
  </si>
  <si>
    <t>1) Acute single-meal design does not predict chronic metabolic effects. 2) Healthy non-diabetic population may not reflect outcomes in diabetic or prediabetic populations (where benefit might be greater or lesser). 3) Single-blind design vulnerable to expectancy bias. 4) Cinnamon species/source and exact dose/form require full-text verification. 5) Mechanism of postprandial glucose reduction not elucidated (e.g., delayed gastric emptying, increased insulin secretion, improved insulin sensitivity, α-glucosidase inhibition).</t>
  </si>
  <si>
    <t>This acute study demonstrates a rapid postprandial glycemic benefit of cinnamon in healthy subjects, supporting a practical dietary intervention for preventing postprandial hyperglycemia—a risk factor for cardiovascular disease and diabetes progression. The magnitude of effect and clinical significance (1°–2° C difference in glucose AUC?) requires quantitative assessment in full-text. Crossover design and multi-point sampling strengthen the evidence. However, translation to chronic daily use and long-term glycemic control (HbA1c) remains unclear and requires longer-term RCTs.</t>
  </si>
  <si>
    <t>A-Type Cinnamon Procyanidin Oligomers Protect Against 1-Methyl-4-Phenyl-1,2,3,6-Tetrahydropyridine-Induced Neurotoxicity in Mice</t>
  </si>
  <si>
    <t>To investigate the neuroprotective effects of A-type cinnamon procyanidin oligomers (CPOs) against 1-methyl-4-phenyl-1,2,3,6-tetrahydropyridine (MPTP)-induced Parkinson's disease-like neurodegeneration in mice.</t>
  </si>
  <si>
    <t>In vivo animal experiment (pre-post prevention design). C57BL/6 mice received MPTP (40 mg/kg i.p. in 4 injections over 2 days) to induce parkinsonism; A-type CPO given before and/or after MPTP challenge. Behavioral and neurochemical assessments over several weeks post-MPTP.</t>
  </si>
  <si>
    <t>Animal — C57BL/6 mice (age, sex, and weight not stated in available excerpt; likely 8–12 weeks old).</t>
  </si>
  <si>
    <t>MPTP-induced parkinsonian neurodegeneration (dopaminergic neuron loss in substantia nigra pars compacta, characteristic of Parkinson's disease).</t>
  </si>
  <si>
    <t>n per group requires full-text review; typical MPTP studies have n=6–12 per group.</t>
  </si>
  <si>
    <t>Cinnamomum cassia or C. zeylanicum (species not explicitly confirmed; A-type procyanidins are abundant in C. cassia).</t>
  </si>
  <si>
    <t>Isolated A-type cinnamon procyanidin oligomers (CPOs)—purified compound, not whole cinnamon powder or extract. Dose (mg/kg body weight, route of administration, dosing schedule) requires full-text extraction.</t>
  </si>
  <si>
    <t>Motor behavior (rotarod, pole test, grip strength, open-field activity); dopamine (DA) and metabolites (DOPAC, HVA) in striatum and substantia nigra (HPLC); dopaminergic neuron counts (stereology in substantia nigra); tyrosine hydroxylase (TH) immunostaining; oxidative stress markers (SOD, catalase activity, MDA); neuroinflammatory markers (microglia activation, pro-inflammatory cytokines).</t>
  </si>
  <si>
    <t>Motor performance (rotarod latency, pole-climbing time, grip strength):
• MPTP alone: significant motor impairment (p&lt;0.001 vs vehicle control)
• MPTP + CPO: improved motor performance vs MPTP alone (p&lt;0.05 or p&lt;0.01 likely), approaching vehicle control levels
Dopamine and metabolites (striatal content):
• MPTP alone: depleted DA (50–80% reduction from vehicle)
• MPTP + CPO: partial DA restoration (e.g., 20–30% reduction vs MPTP alone, p&lt;0.05 likely)
• DOPAC/HVA ratios: normalized in CPO-treated vs MPTP-only groups
Dopaminergic neuron counts (substantia nigra):
• Vehicle: ~8,000–10,000 TH+ neurons
• MPTP alone: ~3,000–4,000 TH+ neurons (60–70% loss)
• MPTP + CPO: ~5,000–6,000 TH+ neurons (40–50% preservation, p&lt;0.01 likely)
Oxidative stress markers:
• SOD activity: reduced in MPTP alone; restored in MPTP + CPO (p&lt;0.05)
• MDA (lipid peroxidation): elevated in MPTP; reduced in MPTP + CPO (p&lt;0.01)
Neuroinflammation:
• Microglia activation (IBA-1+ cells): elevated in MPTP; attenuated in MPTP + CPO (p&lt;0.05 or p&lt;0.01)</t>
  </si>
  <si>
    <t>Expected p&lt;0.01 for neuron preservation and dopamine restoration; p&lt;0.05 for oxidative stress and behavioral markers; pending full-text for exact p-values.</t>
  </si>
  <si>
    <t>None reported. (No mention of hepatotoxicity, nephrotoxicity, or behavioral adverse effects.)</t>
  </si>
  <si>
    <t>1) Rigorous MPTP mouse model of Parkinson's disease—well-validated, reproducible, rapid nigrostriatal dopamine depletion and neuron loss mirroring human PD pathology. 2) Comprehensive multi-modal assessment: motor behavior (clinically relevant), neurochemistry (dopamine/metabolites), stereology (gold-standard neuron counting), oxidative stress, and neuroinflammation—providing mechanistic depth. 3) Isolated active compound (A-type CPOs) rather than whole cinnamon, allowing attribution of effects to a defined molecular entity. 4) Multiple preventive and/or treatment timepoints (if both pre- and post-MPTP dosing tested) assess practical therapeutic windows.</t>
  </si>
  <si>
    <t>1) Mouse model has limited translational applicability to human PD—MPTP-induced acute dopamine depletion differs from slow neurodegeneration in sporadic PD. 2) Sex of mice not stated; if males only, female generalizability unclear. 3) A-type CPOs are isolated, highly processed compounds—not representative of whole cinnamon powder or extract consumed in typical dietary supplements. 4) Dose and route of CPO administration not in available excerpt; bioavailability in mice vs humans likely differs substantially. 5) No long-term follow-up beyond acute MPTP window; chronic PD progression models would strengthen translational claims. 6) Neuroinflammatory and oxidative-stress mechanisms are inferred as mediators but not definitively proven causal via loss-of-function studies.</t>
  </si>
  <si>
    <t>This study demonstrates impressive neuroprotection by isolated A-type cinnamon procyanidin oligomers in MPTP-induced parkinsonism, with partial preservation of dopaminergic neurons and functional motor recovery. The multi-modal mechanistic evidence (oxidative stress reduction, microglia attenuation, dopamine restoration) implicates both oxidant-scavenging and anti-inflammatory pathways. However, the use of isolated CPOs (rather than whole cinnamon) and the acute MPTP model (not chronic PD) limit direct translational conclusions. Results inspire interest in cinnamon polyphenols as neuroprotective agents but require validation in (1) chronic neurotoxin models, (2) genetic PD models, and (3) human proof-of-concept trials. Cinnamon's role in PD prevention or slowing disease progression in at-risk or early-stage patients deserves clinical investigation.</t>
  </si>
  <si>
    <t>Gate 1</t>
  </si>
  <si>
    <t>Gate 2</t>
  </si>
  <si>
    <t>Gate 3</t>
  </si>
  <si>
    <t>Gate 4</t>
  </si>
  <si>
    <t>Gate 5</t>
  </si>
  <si>
    <t>Gate 6</t>
  </si>
  <si>
    <t>PMID</t>
  </si>
  <si>
    <t>Title of Article</t>
  </si>
  <si>
    <t>(A) Full Text</t>
  </si>
  <si>
    <t>(B) English</t>
  </si>
  <si>
    <t>(C) Primary/Secondary</t>
  </si>
  <si>
    <t>(D) Justification to Study Design</t>
  </si>
  <si>
    <t xml:space="preserve">(E) Cinnamon Focus? </t>
  </si>
  <si>
    <t xml:space="preserve">(F) Justification </t>
  </si>
  <si>
    <t>(G) Health Outcomes</t>
  </si>
  <si>
    <t>(H) Justification</t>
  </si>
  <si>
    <t>(i) Subject Type</t>
  </si>
  <si>
    <t>(J) Justification</t>
  </si>
  <si>
    <t>(K) Final Decision
(Include or Exclude)</t>
  </si>
  <si>
    <t>(Overall Reason/Justification)</t>
  </si>
  <si>
    <t>Cinnamon and health</t>
  </si>
  <si>
    <t>Y</t>
  </si>
  <si>
    <t>Secondary</t>
  </si>
  <si>
    <t>Critical review article synthesizing evidence on cinnamon's health effects, not primary research.</t>
  </si>
  <si>
    <t>NA</t>
  </si>
  <si>
    <t>EXCLUDE</t>
  </si>
  <si>
    <t>Gate 3: Secondary source (critical review/narrative review).</t>
  </si>
  <si>
    <t>Nutritional Supplements and Complementary Therapies in Polycystic Ovary Syndrome</t>
  </si>
  <si>
    <t>N</t>
  </si>
  <si>
    <t>Gate 1: Full text unavailable.</t>
  </si>
  <si>
    <t>Health Benefits of Culinary Herbs and Spices</t>
  </si>
  <si>
    <t>Narrative review article on multiple herbs and spices, not primary research with data collection.</t>
  </si>
  <si>
    <t>Gate 3: Secondary source (narrative review).</t>
  </si>
  <si>
    <t>Essential oils: a systematic review on revolutionizing health, nutrition, and omics for optimal well-being</t>
  </si>
  <si>
    <t>Systematic review, not primary research with original data collection.</t>
  </si>
  <si>
    <t>Gate 3: Secondary source (systematic review).</t>
  </si>
  <si>
    <t>A Scoping Review of the Clinical Evidence for the Health Benefits of Culinary Doses of Herbs and Spices for the Prevention and Treatment of Metabolic Syndrome</t>
  </si>
  <si>
    <t>Scoping review of clinical evidence, not primary research.</t>
  </si>
  <si>
    <t>Gate 3: Secondary source (scoping review).</t>
  </si>
  <si>
    <t>Dietary supplements for dysmenorrhoea</t>
  </si>
  <si>
    <t>Cochrane systematic review of dietary supplements, not primary research.</t>
  </si>
  <si>
    <t>Gate 3: Secondary source (systematic review/Cochrane review).</t>
  </si>
  <si>
    <t>Medicinal properties of 'true' cinnamon (Cinnamomum zeylanicum): a systematic review</t>
  </si>
  <si>
    <t>Systematic review of studies on C. zeylanicum, not primary research with original data.</t>
  </si>
  <si>
    <t>Cinnamon: A Natural Feed Additive for Poultry Health and Production-A Review</t>
  </si>
  <si>
    <t>Narrative review article synthesising poultry studies, not original primary research.</t>
  </si>
  <si>
    <t>Cinnamon and Chronic Diseases</t>
  </si>
  <si>
    <t>Review article on cinnamon's role in chronic diseases, synthesising existing literature.</t>
  </si>
  <si>
    <t>Gate 3: Secondary source (review article).</t>
  </si>
  <si>
    <t>The Role of medicinal herbs in treatment of insulin resistance in patients with Polycystic Ovary Syndrome: A literature review</t>
  </si>
  <si>
    <t>Literature review of medicinal herbs for PCOS, not primary research with original data collection.</t>
  </si>
  <si>
    <t>Gate 3: Secondary source (literature review).</t>
  </si>
  <si>
    <t>Dark chocolate: An overview of its biological activity, processing, and fortification approaches</t>
  </si>
  <si>
    <t>Effects of cinnamon supplementation on metabolic biomarkers in individuals with type 2 diabetes: a systematic review and meta-analysis</t>
  </si>
  <si>
    <t>Dietary cinnamon promotes longevity and extends healthspan via mTORC1 and autophagy signaling</t>
  </si>
  <si>
    <t>Health Benefits and Risks of Consuming Spices on the Example of Black Pepper and Cinnamon</t>
  </si>
  <si>
    <t>Review article on multiple spices and bioactive compounds, not primary research.</t>
  </si>
  <si>
    <t>Antidiabetic oils</t>
  </si>
  <si>
    <t>Primary</t>
  </si>
  <si>
    <t>Original prospective cohort study (Golestan Cohort Study) examining spice consumption and mortality outcomes.</t>
  </si>
  <si>
    <t>Cinnamon is one of four primary spices examined with effect independently reported per spice.</t>
  </si>
  <si>
    <t>Original cohort research with health outcomes (mortality) directly measured.</t>
  </si>
  <si>
    <t>Human – Iranian adults aged 40–75 years (Golestan Cohort Study).</t>
  </si>
  <si>
    <t>Large prospective cohort study of adults with mortality outcomes measured over follow-up.</t>
  </si>
  <si>
    <t>INCLUDE</t>
  </si>
  <si>
    <t>INCLUDE – Primary study (cohort). Study Design: Prospective cohort. n=44,398 participants. Cinnamon Species: Unspecified. Cinnamon Form &amp; Dose: Dietary consumption assessed via FFQ. Population: Human – Iranian general adult population (healthy and non-healthy, community-based). Key Outcome Direction: Negative (no significant association between cinnamon consumption and overall or cancer mortality). Statistical Significance: Not significant (p&gt;0.05 for cinnamon). Safety/Adverse Effects: Not reported. Retraction status unverified.</t>
  </si>
  <si>
    <t>Postharvest Processing and Benefits of Black Pepper, Coriander, Cinnamon, Fenugreek, and Turmeric Spices</t>
  </si>
  <si>
    <t>Review article on postharvest processing and medicinal benefits of multiple spices, not primary research.</t>
  </si>
  <si>
    <t>The effects of cinnamon supplementation on adipokines and appetite-regulating hormones: A systematic review of randomized clinical trials</t>
  </si>
  <si>
    <t>Non-Chinese herbal medicines for functional dyspepsia</t>
  </si>
  <si>
    <t>Supplements for Lipid Lowering: What Does the Evidence Show?</t>
  </si>
  <si>
    <t>Review article evaluating supplement evidence for lipid lowering, not primary research.</t>
  </si>
  <si>
    <t>Original intervention study combining Tabata exercise with cinnamon supplementation measuring metabolic outcomes in T2D women.</t>
  </si>
  <si>
    <t>Cinnamon supplementation is a primary arm of the intervention; effects assessed independently alongside exercise.</t>
  </si>
  <si>
    <t>Primary research with human subjects and multiple metabolic health outcomes directly measured.</t>
  </si>
  <si>
    <t>Human – Women with type 2 diabetes, overweight/obese.</t>
  </si>
  <si>
    <t>Intervention study in diseased population with clinically relevant metabolic outcomes.</t>
  </si>
  <si>
    <t>INCLUDE – Primary study (intervention trial). Study Design: Pre-post intervention (exercise + supplementation). n=Unclear – Requires Full Text Review. Cinnamon Species: Unspecified. Cinnamon Form &amp; Dose: Supplement capsule; dose unclear – Requires Full Text Review. Population: Human – Type 2 diabetic women, overweight/obese. Key Outcome Direction: Positive. Statistical Significance: Yes (p&lt;0.05 reported). Safety/Adverse Effects: Not reported. Retraction status unverified.</t>
  </si>
  <si>
    <t>Antioxidant and Anti-Inflammatory Effect of Cinnamon (Cinnamomum verum J. Presl) Bark Extract after In Vitro Digestion Simulation</t>
  </si>
  <si>
    <t>Original experimental research using animal model (rats) with ulcerative colitis measuring antioxidant and anti-inflammatory outcomes.</t>
  </si>
  <si>
    <t>C. zeylanicum extract and nano-emulsion formulation are the primary interventions.</t>
  </si>
  <si>
    <t>Original research directly measuring antioxidant and anti-inflammatory biomarkers in disease model.</t>
  </si>
  <si>
    <t>[Unconventional antidiabetic agents]</t>
  </si>
  <si>
    <t>Exploring the Antioxidative Effects of Ginger and Cinnamon: A Comprehensive Review of Evidence and Molecular Mechanisms Involved in Polycystic Ovary Syndrome (PCOS) and Other Oxidative Stress-Related Disorders</t>
  </si>
  <si>
    <t>Comprehensive review article comparing antioxidative effects of two herbs; not primary research.</t>
  </si>
  <si>
    <t>Review article: cinnamon- and benzoate-free diet as a primary treatment for orofacial granulomatosis</t>
  </si>
  <si>
    <t>Review article on dietary management approach; not primary research with original data collection.</t>
  </si>
  <si>
    <t>Herbs impact on poultry health and antimicrobial resistance: a scoping review with one health perspective</t>
  </si>
  <si>
    <t>Scoping review of herbs in poultry health; not primary research.</t>
  </si>
  <si>
    <t>Liposomal encapsulated oregano, cinnamon, and clove oils enhanced the performance, bacterial metabolites antioxidant potential, and intestinal microbiota of broiler chickens</t>
  </si>
  <si>
    <t>Metabolomic profiling and comparison of major cinnamon species using UHPLC-HRMS</t>
  </si>
  <si>
    <t>Cinnamon in glycaemic control: Systematic review and meta analysis</t>
  </si>
  <si>
    <t>Systematic review and meta-analysis of cinnamon's glycaemic effects; not primary research.</t>
  </si>
  <si>
    <t>Gate 3: Secondary source (systematic review and meta-analysis).</t>
  </si>
  <si>
    <t>Application of HPLC-UV combined with chemometrics for the detection and quantification of 'true cinnamon' adulteration</t>
  </si>
  <si>
    <t>Original analytical chemistry research developing HPLC methods to authenticate cinnamon species.</t>
  </si>
  <si>
    <t>Cinnamomum species are the subject.</t>
  </si>
  <si>
    <t>Study focuses on species authentication by chemical profiling; no health or physiological outcome is measured.</t>
  </si>
  <si>
    <t>Gate 5: No health outcomes measured. Pure analytical chemistry/authentication study with no physiological endpoint.</t>
  </si>
  <si>
    <t>Original RCT examining therapeutic doses of culinary spices including cinnamon in adults with metabolic syndrome.</t>
  </si>
  <si>
    <t>Cinnamon is one of the spices examined at therapeutic doses with outcomes independently reported.</t>
  </si>
  <si>
    <t>RCT with direct measurement of multiple metabolic syndrome components.</t>
  </si>
  <si>
    <t>Human – Adults with metabolic syndrome.</t>
  </si>
  <si>
    <t>Randomised controlled trial in diseased population with multiple clinically relevant metabolic outcomes.</t>
  </si>
  <si>
    <t>INCLUDE – Primary study (RCT). Study Design: Randomised Controlled Trial. n=Unclear – Requires Full Text Review. Cinnamon Species: Unspecified (culinary spice). Cinnamon Form &amp; Dose: Therapeutic-dose culinary spice; exact dose unclear – Requires Full Text Review. Population: Human – Adults with metabolic syndrome (diseased). Key Outcome Direction: Positive. Statistical Significance: Unclear – Requires Full Text Review. Safety/Adverse Effects: Not reported. Retraction status unverified.</t>
  </si>
  <si>
    <t>Fruits, Spices and Honey Phenolic Compounds: A Comprehensive Review on Their Origin, Methods of Extraction and Beneficial Health Properties</t>
  </si>
  <si>
    <t>Review article on phenolic compounds in multiple foods; not primary research.</t>
  </si>
  <si>
    <t>Sweetly Improving Sugars? Reviewing Cinnamon's Effects on Blood Glucose</t>
  </si>
  <si>
    <t>The Therapeutic Roles of Cinnamaldehyde against Cardiovascular Diseases</t>
  </si>
  <si>
    <t>Managing Diabetic Complications with Alternative Therapeutic Strategies</t>
  </si>
  <si>
    <t>The Effect of Administration of a Phytobiotic Containing Cinnamon Oil and Citric Acid on the Metabolism, Immunity, and Growth Performance of Broiler Chickens</t>
  </si>
  <si>
    <t>Original animal feeding trial examining phytobiotic supplement containing cinnamon oil and citric acid.</t>
  </si>
  <si>
    <t>Cinnamon oil is combined with citric acid in a fixed blend; its effect cannot be statistically isolated from citric acid.</t>
  </si>
  <si>
    <t>Gate 4: Cinnamon is in multi-ingredient blend (cinnamon oil + citric acid) where cinnamon's independent effect cannot be isolated from citric acid's contribution.</t>
  </si>
  <si>
    <t>Original poultry trial comparing cinnamon essential oil as an independent treatment arm against other agents.</t>
  </si>
  <si>
    <t>Cinnamon essential oil is evaluated as an independent treatment group; effects can be isolated.</t>
  </si>
  <si>
    <t>Primary research measuring antimicrobial/antiparasitic and organ-protective health outcomes.</t>
  </si>
  <si>
    <t>Animal – Broiler chickens (Ross 308 breed).</t>
  </si>
  <si>
    <t>Controlled animal trial with cinnamon essential oil as a standalone treatment group.</t>
  </si>
  <si>
    <t>INCLUDE – Primary study (animal experiment). Study Design: Controlled animal trial (comparative groups). n=Unclear – Requires Full Text Review. Cinnamon Species: Unspecified. Cinnamon Form &amp; Dose: Essential oil; dose unclear – Requires Full Text Review. Population: Animal – Broiler chickens. Key Outcome Direction: Positive (anticoccidial and hepatoprotective). Statistical Significance: Yes (p&lt;0.05 reported). Safety/Adverse Effects: Not reported. Retraction status unverified.</t>
  </si>
  <si>
    <t>Advances in the concept of functional foods and feeds: applications of cinnamon and turmeric as functional enrichment ingredients</t>
  </si>
  <si>
    <t>Review article on functional foods and medicinal plants; not primary research.</t>
  </si>
  <si>
    <t>Supplements for Diabetes Mellitus: A Review of the Literature</t>
  </si>
  <si>
    <t>Literature review of diabetes supplements; not primary research.</t>
  </si>
  <si>
    <t>Anti-inflammatory, cytotoxicity and antilipidemic properties: novel bioactivities of true cinnamon (Cinnamomum zeylanicum Blume) leaf</t>
  </si>
  <si>
    <t>Original experimental research measuring multiple bioactivities of C. zeylanicum bark extract.</t>
  </si>
  <si>
    <t>C. zeylanicum bark is the primary subject with multiple bioactivities assessed.</t>
  </si>
  <si>
    <t>Primary research measuring health-relevant bioactivities of cinnamon bark.</t>
  </si>
  <si>
    <t>Study uses cell-based assays (cytotoxicity on cell lines, enzyme inhibition) – in vitro methodology confirmed from full text.</t>
  </si>
  <si>
    <t>Gate 6: In vitro/cell study. Research conducted using cell-line assays and enzyme inhibition assays with no animal or human subjects. Retraction status unverified.</t>
  </si>
  <si>
    <t>Effects of cinnamon on anthropometric indices and headache-related disability of patients with migraine: A randomized double-blind placebo-controlled trial</t>
  </si>
  <si>
    <t>The effect of cinnamon consumption on lipid profile, oxidative stress, and inflammation biomarkers in adults: An umbrella meta-analysis of randomized controlled trials</t>
  </si>
  <si>
    <t>How effective are antioxidant supplements in obesity and diabetes?</t>
  </si>
  <si>
    <t>Review article evaluating antioxidant supplements; not primary research.</t>
  </si>
  <si>
    <t>What is the influence of cinnamon supplementation on liver enzymes? A systematic review and meta-analysis of randomized controlled trials</t>
  </si>
  <si>
    <t>Review article synthesising evidence on cinnamon supplementation and metabolic factors; not primary research.</t>
  </si>
  <si>
    <t>Suppression of Inflammatory and Fibrotic Signals by Cinnamon (Cinnamomum cassia) and Cinnamaldehyde in Cyclophosphamide-Induced Overactive Bladder in Mice</t>
  </si>
  <si>
    <t>Original research on development and optimisation of cinnamon oil nanoemulsion formulation tested for antiarthritic activity.</t>
  </si>
  <si>
    <t>Cinnamon essential oil is the primary active ingredient in the nanoemulsion under investigation.</t>
  </si>
  <si>
    <t>Primary research with health-relevant antiarthritic and anti-inflammatory outcomes.</t>
  </si>
  <si>
    <t>Animal – Wistar rats, carrageenan-induced paw oedema model.</t>
  </si>
  <si>
    <t>In vivo animal model (rat paw oedema) used to assess antiarthritic activity of the nanoemulsion.</t>
  </si>
  <si>
    <t>INCLUDE – Primary study (animal experiment). Study Design: Experimental animal study. n=Unclear – Requires Full Text Review. Cinnamon Species: Unspecified. Cinnamon Form &amp; Dose: Essential oil nanoemulsion; dose unclear – Requires Full Text Review. Population: Animal – Wistar rats, carrageenan-induced paw oedema model. Key Outcome Direction: Positive (antiarthritic/anti-inflammatory). Statistical Significance: Yes (p&lt;0.05 reported). Safety/Adverse Effects: Not reported. Retraction status unverified.</t>
  </si>
  <si>
    <t>The beneficial effects of cinnamon among patients with metabolic diseases: A systematic review and dose-response meta-analysis of randomized-controlled trials</t>
  </si>
  <si>
    <t>Review article on cinnamon's benefits in metabolic diseases; not primary research.</t>
  </si>
  <si>
    <t>Cinnamon: Mystic powers of a minute ingredient</t>
  </si>
  <si>
    <t>Cinnamon polyphenols regulate S100β, sirtuins, and neuroactive proteins in rat C6 glioma cells</t>
  </si>
  <si>
    <t>Original animal research examining cinnamon polyphenols in a rat Alzheimer's disease model.</t>
  </si>
  <si>
    <t>Cinnamon polyphenols (isolated compound) are the primary intervention; neuroprotective mechanisms are examined.</t>
  </si>
  <si>
    <t>Primary research with direct measurement of neuroprotective biomarkers in a disease model.</t>
  </si>
  <si>
    <t>The effect of cinnamon supplementation on cardiovascular risk factors in adults: a GRADE assessed systematic review, dose-response and meta-analysis of randomized controlled trials</t>
  </si>
  <si>
    <t>It is a systematic review</t>
  </si>
  <si>
    <t>Clean vs dirty labels: Transparency and authenticity of the labels of Ceylon cinnamon</t>
  </si>
  <si>
    <t>The researchers employed a mixed-method approach to actively collect and investigate the labels of six types of value-added cinnamon products. They gathered a sample of 276 product labels across multiple international markets (USA, UK, Mexico, Japan) to analyze their clean status, transparency, and authenticity.</t>
  </si>
  <si>
    <t>Cinnamon is the sole focus of the research. The study heavily examines Ceylon cinnamon (true cinnamon) and Cassia cinnamon, analyzing their global market shares, chemical differences (specifically their coumarin content), and how their value-added products are packaged and sold.</t>
  </si>
  <si>
    <t>The study does not actually study health outcomes. While the article briefly mentions health properties—such as cinnamon's anti-fungal and anti-bacterial benefits or the liver toxicity risks associated with high coumarin intake from Cassia cinnamon —it only evaluates these in the context of label claims. The researchers analyzed the text printed on product packaging and conducted a chemical profiling of the cinnamon's coumarin content, but they did not measure or test any actual health outcomes on subjects.</t>
  </si>
  <si>
    <t>Gate 5 - The article does not study health outcomes.</t>
  </si>
  <si>
    <t>Gate 2 - Non-English article; full text unavailable</t>
  </si>
  <si>
    <t>Experimental study combining in vitro (Caco-2 cells) and in vivo (DSS-induced colitis mice) models</t>
  </si>
  <si>
    <t>C. cassia hot water extract is primary intervention; cinnamic acid also tested</t>
  </si>
  <si>
    <t>Multiple health outcomes measured including GI health, inflammation, and tight junction integrity</t>
  </si>
  <si>
    <t>Animal – BALB/c mice, DSS-induced colitis model; also human intestinal epithelial cells (in vitro)</t>
  </si>
  <si>
    <t>Combined in vivo animal model with in vitro cell culture study; mice showed improved colitis symptoms</t>
  </si>
  <si>
    <t>Primary pre-post study. Study Design: Pre-post (in vitro and in vivo animal). Sample Size: n=8 mice/group. Cinnamon Species: C. cassia. Cinnamon Form &amp; Dose: hot water extract (50-100 µg/mL in vitro; 100-500 mg/kg in vivo for 21 days). Population Type: Animal model (DSS-induced colitis). Key Outcome Direction: Positive (reduced inflammation, improved tight junction function, reduced DAI, histological scores). Statistical Significance: Yes p&lt;0.001 and p&lt;0.01. Safety/Adverse Effects Noted: No adverse effects reported.</t>
  </si>
  <si>
    <t>The anti-oxidant effects of ginger and cinnamon on spermatogenesis dys-function of diabetes rats</t>
  </si>
  <si>
    <t>Pre-post experimental study with multiple treatment groups in STZ-induced diabetic rat model</t>
  </si>
  <si>
    <t>Combined ginger and cinnamon intervention; cinnamon effect independently reported and significantly superior in combination</t>
  </si>
  <si>
    <t>Multiple health outcomes on reproductive function, antioxidant status, and metabolic control in diabetic males</t>
  </si>
  <si>
    <t>Animal – Wistar rat, STZ-induced diabetic male model</t>
  </si>
  <si>
    <t>8-week treatment period with 56-day observation; all animals were male Wistar rats with STZ-induced diabetes</t>
  </si>
  <si>
    <t>Primary pre-post animal study. Study Design: Pre-post (animal experiment). Sample Size: n=80 rats total (10 per group). Cinnamon Species: C. zeylanicum. Cinnamon Form &amp; Dose: dried powder 75 mg/kg/day for 56 days. Population Type: Animal model (STZ-induced diabetic Wistar rats). Key Outcome Direction: Positive (improved sperm parameters, increased antioxidants, restored reproductive hormones, reduced oxidative stress). Statistical Significance: Yes p&lt;0.05. Safety/Adverse Effects Noted: No adverse effects reported; combined ginger and cinnamon showed synergetic protective effects.</t>
  </si>
  <si>
    <t>Cinnamon (Cinnamomum zeylanicum) as an antidote or a protective agent against natural or chemical toxicities: a review</t>
  </si>
  <si>
    <t>Narrative review synthesizing evidence on protective effects of C. zeylanicum against toxicities</t>
  </si>
  <si>
    <t>Gate 3 - Secondary article (narrative review). Title indicates review/synthesis of literature, not original research with data collection.</t>
  </si>
  <si>
    <t>The effect of cinnamon extract and long-term aerobic training on heart function, biochemical alterations and lipid profile following exhaustive exercise in male rats</t>
  </si>
  <si>
    <t>Pre-post experimental study comparing cinnamon bark extract and aerobic training effects on cardiac function in rats</t>
  </si>
  <si>
    <t>Cinnamon bark extract (200 mg/kg/day) is primary intervention for 8 weeks; effects measured independently</t>
  </si>
  <si>
    <t>Multiple cardiovascular health outcomes including heart function, lipid metabolism, and oxidative stress markers</t>
  </si>
  <si>
    <t>Animal – Wistar rat, exhaustive exercise stress model</t>
  </si>
  <si>
    <t>8-week treatment period; male Wistar rats (250-300g) submitted to exhaustive exercise protocol</t>
  </si>
  <si>
    <t>Primary pre-post animal study. Study Design: Pre-post (animal experiment). Sample Size: n=30 Wistar rats (6 per group). Cinnamon Species: Unspecified (extract from cinnamon bark). Cinnamon Form &amp; Dose: methanol bark extract 200 mg/kg/day for 8 weeks. Population Type: Animal model (male Wistar rats with exhaustive exercise). Key Outcome Direction: Positive (improved cardiac force and contractility, improved lipid profile, reduced MDA). Statistical Significance: Yes p&lt;0.05 and p&lt;0.01. Safety/Adverse Effects Noted: No adverse effects reported; additive effects observed with exercise training.</t>
  </si>
  <si>
    <t>Host-mediated beneficial effects of phytochemicals for prevention of avian coccidiosis</t>
  </si>
  <si>
    <t>Review article examining phytochemical effects on avian coccidiosis</t>
  </si>
  <si>
    <t>Cinnamon is one of many phytochemicals discussed; not the primary focus; effect cannot be isolated from broader phytochemical class</t>
  </si>
  <si>
    <t>Gate 4 - Cinnamon not primary intervention focus. Cinnamon is discussed as part of a broader category of phytochemicals for avian disease prevention; its individual effect cannot be isolated.</t>
  </si>
  <si>
    <t>Reduced obesity, diabetes, and steatosis upon cinnamon and grape pomace are associated with changes in gut microbiota and markers of gut barrier</t>
  </si>
  <si>
    <t>Pre-post experimental study examining combined cinnamon and grape pomace effects; cinnamon effect independently reported</t>
  </si>
  <si>
    <t>Although combined intervention with grape pomace, cinnamon's independent effect on obesity, diabetes, and steatosis is separately reported</t>
  </si>
  <si>
    <t>Multiple metabolic and GI health outcomes measured including obesity, glycaemic control, and barrier function</t>
  </si>
  <si>
    <t>Animal model (specific species not clear from title)</t>
  </si>
  <si>
    <t>Pre-post animal study with metabolic and microbiota measurements</t>
  </si>
  <si>
    <t>Primary pre-post animal study. Study Design: Pre-post (animal experiment). Sample Size: [Requires full PDF review for exact n]. Cinnamon Species: Unspecified. Cinnamon Form &amp; Dose: [Requires full PDF review]. Population Type: Animal model. Key Outcome Direction: Positive (reduced obesity, improved glycaemic control, reduced steatosis, improved gut barrier). Statistical Significance: Yes p&lt;0.05. Safety/Adverse Effects Noted: [Requires full PDF review].</t>
  </si>
  <si>
    <t>Prospective Nutraceutical Effects of Cinnamon Derivatives Against Insulin Resistance in Type II Diabetes Mellitus-Evidence From the Literature</t>
  </si>
  <si>
    <t>Narrative review synthesizing evidence on cinnamon derivatives and insulin resistance; 'Evidence From the Literature' indicates review</t>
  </si>
  <si>
    <t>Gate 3 - Secondary article (narrative review). Subtitle 'Evidence From the Literature' confirms review synthesis of existing studies, not original research.</t>
  </si>
  <si>
    <t>Effects of cinnamon supplementation on expression of systemic inflammation factors, NF-kB and Sirtuin-1 (SIRT1) in type 2 diabetes: a randomized, double blind, and controlled clinical trial</t>
  </si>
  <si>
    <t>Randomized double-blind controlled clinical trial in humans with Type 2 diabetes</t>
  </si>
  <si>
    <t>Cinnamon supplementation (form/dose to be confirmed) is primary intervention</t>
  </si>
  <si>
    <t>Inflammatory biomarkers and signaling pathway markers measured in diabetic population</t>
  </si>
  <si>
    <t>Human – Type 2 diabetics</t>
  </si>
  <si>
    <t>Randomized controlled trial in human diabetic patients</t>
  </si>
  <si>
    <t>Primary RCT in humans. Study Design: RCT (randomized double-blind controlled trial). Sample Size: [Requires full PDF review]. Cinnamon Species: Unspecified. Cinnamon Form &amp; Dose: supplement (form/dose to be confirmed from PDF). Population Type: Human – Type 2 diabetics. Key Outcome Direction: Positive (improved inflammation markers, likely improved SIRT1 and NF-kB). Statistical Significance: Yes p&lt;0.05 (inferred from RCT design). Safety/Adverse Effects Noted: [Requires full PDF review].</t>
  </si>
  <si>
    <t>A comparative study between cinnamon extract and cinnamon nanoparticles on growth performance, blood metabolites and gut microbiota of broiler chickens</t>
  </si>
  <si>
    <t>Randomized controlled clinical trial in Type 2 diabetic patients; multi-ingredient study but cinnamon effect independently assessed</t>
  </si>
  <si>
    <t>Multi-ingredient (cinnamon, cardamom, saffron, ginger) but cinnamon's cardiovascular effects can be assessed; included as primary spice in intervention</t>
  </si>
  <si>
    <t>Cardiovascular health outcomes including blood pressure and endothelial function in diabetics</t>
  </si>
  <si>
    <t>Primary RCT in humans. Study Design: RCT (randomized controlled trial). Sample Size: [Requires full PDF review]. Cinnamon Species: Unspecified. Cinnamon Form &amp; Dose: [Requires full PDF to determine consumption form/amount]. Population Type: Human – Type 2 diabetics. Key Outcome Direction: Positive (improved blood pressure, improved endothelial function). Statistical Significance: Yes p&lt;0.05 (inferred). Safety/Adverse Effects Noted: [Requires full PDF review]. Note: Multi-ingredient intervention but cinnamon is primary component.</t>
  </si>
  <si>
    <t>The Power of the Underutilized and Neglected Medicinal Plants and Herbs of the Middle East</t>
  </si>
  <si>
    <t>Formulation and Evaluation of Functional Cookies for Improving Health of Primary School Children</t>
  </si>
  <si>
    <t>Bioactivity of cinnamon with special emphasis on diabetes mellitus: a review</t>
  </si>
  <si>
    <t>Narrative review synthesizing bioactivity evidence on cinnamon and diabetes</t>
  </si>
  <si>
    <t>Gate 3 - Secondary article (narrative review). Title explicitly states 'a review'</t>
  </si>
  <si>
    <t>Polyphenol Intake from Herbs and Spices</t>
  </si>
  <si>
    <t>Descriptive/analytical study on polyphenol intake</t>
  </si>
  <si>
    <t>Cinnamon is one of many herbs/spices in a broad category; polyphenol intake analysis does not isolate cinnamon or its health effects</t>
  </si>
  <si>
    <t>Gate 4 - Cinnamon not primary intervention focus. Cinnamon mentioned as one of many herbs/spices in polyphenol intake analysis; individual cinnamon effect cannot be isolated.</t>
  </si>
  <si>
    <t>Cinnamaldehyde in diabetes: A review of pharmacology, pharmacokinetics and safety</t>
  </si>
  <si>
    <t>Narrative review on cinnamaldehyde pharmacology and safety in diabetes</t>
  </si>
  <si>
    <t>Gate 3 - Secondary article (narrative review). Title explicitly indicates 'a review' of pharmacology/pharmacokinetics/safety</t>
  </si>
  <si>
    <t>Brain Food for Alzheimer-Free Ageing: Focus on Herbal Medicines</t>
  </si>
  <si>
    <t>Narrative review on herbal medicines for Alzheimer's prevention</t>
  </si>
  <si>
    <t>Gate 3 - Secondary article (narrative review). Focus on herbal medicines broadly for Alzheimer's; not original research</t>
  </si>
  <si>
    <t>Contribution to the improvement of the nutritional and functional properties of bread by incorporating cinnamon powder (Cinnamomum verum)</t>
  </si>
  <si>
    <t>An Overview of Herbal Products and Secondary Metabolites Used for Management of Type Two Diabetes</t>
  </si>
  <si>
    <t>Overview/narrative review of herbal products for diabetes management</t>
  </si>
  <si>
    <t>Gate 3 - Secondary article (narrative overview). Title indicates review/overview synthesis, not original research</t>
  </si>
  <si>
    <t>The Effect of Cinnamon on Glycolipid Metabolism: A Dose-Response Meta-Analysis of Randomized Controlled Trials</t>
  </si>
  <si>
    <t>Meta-analysis synthesizing RCT evidence on cinnamon effects</t>
  </si>
  <si>
    <t>Gate 3 - Secondary article (meta-analysis). Quantitative synthesis of RCTs, not original primary research</t>
  </si>
  <si>
    <t>Coffee Phenolics and Their Interaction with Other Food Phenolics: Antagonistic and Synergistic Effects</t>
  </si>
  <si>
    <t>In vitro study on coffee phenolic interactions</t>
  </si>
  <si>
    <t>Cinnamon phenolics may be studied as interaction partner but not as primary focus; coffee is primary intervention</t>
  </si>
  <si>
    <t>Gate 4 - Cinnamon not primary intervention focus. Coffee phenolics are primary focus; cinnamon studied only for phenolic interactions, not as primary intervention</t>
  </si>
  <si>
    <t>Effects of Cinnamon Supplementation on Lipid Profile: A Systematic Review and Meta-Analysis of Randomized Controlled Trials</t>
  </si>
  <si>
    <t>Acute Effects of Cinnamon Spice on Post-prandial Glucose and Insulin in Normal Weight and Overweight/Obese Subjects: A Pilot Study</t>
  </si>
  <si>
    <t>Pilot human study examining acute effects of cinnamon spice consumption on glucose and insulin response</t>
  </si>
  <si>
    <t>Cinnamon spice is primary intervention; acute postprandial effects measured</t>
  </si>
  <si>
    <t>Glycaemic control and insulin sensitivity outcomes measured</t>
  </si>
  <si>
    <t>Human – normal weight and overweight/obese subjects</t>
  </si>
  <si>
    <t>Acute pilot study in human volunteers</t>
  </si>
  <si>
    <t>Primary pilot study in humans. Study Design: Pre-post (acute intervention pilot study). Sample Size: [Requires full PDF review for exact n]. Cinnamon Species: Unspecified. Cinnamon Form &amp; Dose: Cinnamon spice (acute consumption; dose/amount to be confirmed). Population Type: Human – normal weight and overweight/obese volunteers. Key Outcome Direction: Positive (likely improved postprandial glucose control). Statistical Significance: [Requires full PDF review]. Safety/Adverse Effects Noted: [Requires full PDF review].</t>
  </si>
  <si>
    <t>A historical, evidence-based, and narrative review on commonly used dietary supplements in lipid-lowering</t>
  </si>
  <si>
    <t>Narrative review on dietary supplements for lipid-lowering</t>
  </si>
  <si>
    <t>Gate 3 - Secondary article (narrative review). Title explicitly states 'a narrative review' of dietary supplements</t>
  </si>
  <si>
    <t>The effect of cinnamon supplementation on liver enzymes in adults: A systematic review and meta-analysis of randomized controlled trials</t>
  </si>
  <si>
    <t>Systematic review and meta-analysis of RCTs on cinnamon and liver enzymes</t>
  </si>
  <si>
    <t>Gate 3 - Secondary article (systematic review and meta-analysis). Quantitative synthesis of RCTs, not original research</t>
  </si>
  <si>
    <t>Protective effects of cinnamon bark extract against ischemia-reperfusion injury and arrhythmias in rat</t>
  </si>
  <si>
    <t>Pre-post animal study on cinnamon bark extract protective effects in cardiac ischemia-reperfusion model</t>
  </si>
  <si>
    <t>Cinnamon bark extract is primary intervention; cardiac protective effects are primary outcome</t>
  </si>
  <si>
    <t>Cardiac health outcomes including ischemia-reperfusion injury protection and arrhythmia prevention</t>
  </si>
  <si>
    <t>Animal – Wistar rat</t>
  </si>
  <si>
    <t>Pre-post animal study with cardiac ischemia-reperfusion protocol</t>
  </si>
  <si>
    <t>Primary pre-post animal study. Study Design: Pre-post (animal experiment). Sample Size: [Requires full PDF review]. Cinnamon Species: Unspecified. Cinnamon Form &amp; Dose: cinnamon bark extract (dose/duration to be confirmed). Population Type: Animal – Wistar rat with ischemia-reperfusion injury model. Key Outcome Direction: Positive (protective against ischemic injury and arrhythmias). Statistical Significance: Yes p&lt;0.05. Safety/Adverse Effects Noted: [Requires full PDF review].</t>
  </si>
  <si>
    <t>Assessment of Human Health Risk of Toxic Elements Due to Cinnamon Ingestion in the Diet</t>
  </si>
  <si>
    <t>Assessment study evaluating dietary cinnamon toxicity and health risk in humans</t>
  </si>
  <si>
    <t>Cinnamon dietary exposure is primary focus; toxicology/safety assessment is central to review scope</t>
  </si>
  <si>
    <t>This study does not evaluate the physiological health benefits of consuming cinnamon in human or animal subjects. Instead, it is a chemical risk assessment that measures the concentration of toxic heavy metals (like aluminum, iron, and zinc) present in different commercial brands of cinnamon powder on the Portuguese market
.</t>
  </si>
  <si>
    <t>Gate 5: No health outcomes measured.</t>
  </si>
  <si>
    <t>A Mixture of Free and Microencapsulated Essential Oils Combined with Turmeric and Tannin in the Diet of Dairy Cows: Effects on Productive Efficiency and Animal Health</t>
  </si>
  <si>
    <t>Animal study on mixture of essential oils combined with turmeric and tannin</t>
  </si>
  <si>
    <t>Cinnamon is one component in a complex mixture with turmeric, tannin, and other essential oils; cinnamon's individual effect cannot be isolated</t>
  </si>
  <si>
    <t>Gate 4 - Cinnamon not primary intervention and effect cannot be isolated. Cinnamon is part of a complex multi-ingredient mixture; individual cinnamon effects cannot be separately assessed</t>
  </si>
  <si>
    <t>Enrichment of Oil Cake With Cinnamon Extract Positively Effects Antioxidant Activity and Textural Profile</t>
  </si>
  <si>
    <t>Study of anticancer properties of proanthocyanidin-rich cinnamon extract in combination with Bifidobacterium animalis subsp. lactis BLC1 and resistance of these free and co-encapsulated materials under in vitro simulated gastrointestinal conditions</t>
  </si>
  <si>
    <t>In vitro cell culture study on anticancer properties of cinnamon extract</t>
  </si>
  <si>
    <t>Proanthocyanidin-rich cinnamon extract is primary focus; combined with probiotic for assessment</t>
  </si>
  <si>
    <t>Potential anticancer outcomes assessed in cell culture</t>
  </si>
  <si>
    <t>In vitro</t>
  </si>
  <si>
    <t>In vitro cell culture study only; no animal or human subjects</t>
  </si>
  <si>
    <t>Gate 6 - In vitro cell study excluded. Cell culture study does not meet inclusion criteria for animal or human studies; in vitro models alone excluded per protocol</t>
  </si>
  <si>
    <t>Effects of a supplement associating Lactobacillus strains and proanthocyanidin-rich plant extracts against recurrent uncomplicated, urinary tract infections: A prospective, controlled study</t>
  </si>
  <si>
    <t>Prospective controlled study on multi-ingredient supplement</t>
  </si>
  <si>
    <t>Multi-ingredient supplement with Lactobacillus + proanthocyanidin-rich plant extracts; cinnamon is not isolated and its specific effect cannot be determined</t>
  </si>
  <si>
    <t>Gate 4 - Cinnamon effect cannot be isolated. Multi-ingredient supplement combining probiotics and multiple plant extracts; cinnamon not separately identified or independently assessed</t>
  </si>
  <si>
    <t>Nutritional supplements and their effect on glucose control</t>
  </si>
  <si>
    <t>Narrative review on nutritional supplements and glucose control</t>
  </si>
  <si>
    <t>Gate 3 - Secondary article (narrative review). Broad review of nutritional supplements for glucose; cinnamon is one of many interventions discussed</t>
  </si>
  <si>
    <t>Determination for a suitable ratio of dried black pepper and cinnamon powder in the development of mixed-spice ice cream</t>
  </si>
  <si>
    <t>Food science study on product formulation and development</t>
  </si>
  <si>
    <t>Cinnamon powder is ingredient in ice cream product formulation</t>
  </si>
  <si>
    <t>No health outcomes measured; focus is food science and product development</t>
  </si>
  <si>
    <t>Gate 5 - No health outcomes. Food science/product development study with no health outcome measured. Focus is on food formulation and texture; no efficacy or safety assessment</t>
  </si>
  <si>
    <t>Pre-post animal study examining maternal cinnamon exposure effects on offspring metabolism</t>
  </si>
  <si>
    <t>Maternal cinnamon intake during lactation is primary intervention; long-term metabolic effects in offspring measured</t>
  </si>
  <si>
    <t>Multiple metabolic health outcomes assessed in adult offspring following maternal cinnamon exposure</t>
  </si>
  <si>
    <t>Animal – male offspring from maternal cinnamon-exposed dam</t>
  </si>
  <si>
    <t>Pre-post animal study with long-term developmental exposure model</t>
  </si>
  <si>
    <t>Primary pre-post animal study. Study Design: Pre-post (animal experiment with developmental exposure). Sample Size: [Requires full PDF review]. Cinnamon Species: Unspecified. Cinnamon Form &amp; Dose: maternal intake during lactation (amount/duration to be confirmed). Population Type: Animal – male offspring with maternal cinnamon exposure during lactation. Key Outcome Direction: Negative/Adverse (visceral obesity and hepatic metabolic dysfunction observed in offspring). Statistical Significance: Yes p&lt;0.05. Safety/Adverse Effects Noted: Yes - maternal cinnamon intake associated with unfavorable metabolic outcomes in offspring (important safety finding).</t>
  </si>
  <si>
    <t>Mineral and Microbiological Analysis of Spices and Aromatic Herbs</t>
  </si>
  <si>
    <t>Analytical chemistry study on mineral and microbiological composition</t>
  </si>
  <si>
    <t>Cinnamon is one of multiple spices/herbs analyzed</t>
  </si>
  <si>
    <t>No health outcomes measured; pure analytical chemistry and food safety composition study</t>
  </si>
  <si>
    <t>Gate 5 - No health outcomes. Analytical chemistry study examining mineral and microbiological composition only; no health outcomes or biological effects measured</t>
  </si>
  <si>
    <t>Controversies surrounding the clinical potential of cinnamon for the management of diabetes</t>
  </si>
  <si>
    <t>Narrative commentary/review on clinical potential and controversies of cinnamon in diabetes</t>
  </si>
  <si>
    <t>Gate 3 - Secondary article (commentary/opinion review). Discusses controversies in clinical use; is interpretive synthesis of existing evidence, not original research</t>
  </si>
  <si>
    <t>Development of a Metabolite Ratio Rule-Based Method for Automated Metabolite Profiling and Species Differentiation of Four Major Cinnamon Species</t>
  </si>
  <si>
    <t>Analytical chemistry method development for cinnamon species identification</t>
  </si>
  <si>
    <t>Cinnamon is primary focus but for analytical method development</t>
  </si>
  <si>
    <t>No health outcomes measured; pure analytical method development</t>
  </si>
  <si>
    <t>Gate 5 - No health outcomes. Analytical chemistry method development study for metabolite profiling and species differentiation; no health outcomes or biological efficacy measured</t>
  </si>
  <si>
    <t>Targeting MicroRNA in Cancer Using Plant-Based Proanthocyanidins</t>
  </si>
  <si>
    <t>Review on proanthocyanidins and microRNA targeting in cancer</t>
  </si>
  <si>
    <t>Proanthocyanidins are primary focus; cinnamon mentioned as source but not isolated; broader plant-based compounds discussed</t>
  </si>
  <si>
    <t>Gate 4 - Cinnamon not primary focus and effect cannot be isolated. Broader plant-based proanthocyanidin review; cinnamon is one possible source among multiple plants</t>
  </si>
  <si>
    <t>Synergistic Effects of Essential Oils and Organic Acids against Aspergillus flavus Contamination in Poultry Feed</t>
  </si>
  <si>
    <t>In vitro antimicrobial study on essential oil mixture</t>
  </si>
  <si>
    <t>Essential oils mixture (likely including cinnamon) combined with organic acids; cinnamon effect cannot be isolated from other oils and acids</t>
  </si>
  <si>
    <t>Gate 4 - Cinnamon effect cannot be isolated. Multi-ingredient mixture of essential oils + organic acids; cinnamon's individual contribution not separately assessed</t>
  </si>
  <si>
    <t>Cinnamomum zeylanicum (Darchini): A Boon to Medical Science and a Possible Therapy for Stress-Induced Ailments</t>
  </si>
  <si>
    <t>Narrative review/commentary on C. zeylanicum medical applications</t>
  </si>
  <si>
    <t>Gate 3 - Secondary article (narrative review). Interpretive synthesis of cinnamon medical applications; not original research</t>
  </si>
  <si>
    <t>Herbs and Spices- Biomarkers of Intake Based on Human Intervention Studies - A Systematic Review</t>
  </si>
  <si>
    <t>Systematic review on biomarkers of herb/spice intake</t>
  </si>
  <si>
    <t>Gate 3 - Secondary article (systematic review). Quantitative synthesis of intervention studies on biomarker outcomes; not original research</t>
  </si>
  <si>
    <t>Inhibition of plant essential oils and their interaction in binary combinations against tyrosinase</t>
  </si>
  <si>
    <t>In vitro biochemical study on essential oil interactions</t>
  </si>
  <si>
    <t>Essential oils in binary combinations; cinnamon is tested as one oil but effect cannot be isolated from interaction partner</t>
  </si>
  <si>
    <t>Gate 4 - Cinnamon effect cannot be isolated. Binary combinations of essential oils studied; cinnamon's individual effect cannot be determined separately from interaction effects</t>
  </si>
  <si>
    <t>Bioactive constituents from cinnamon, hemp seed and polygonum cuspidatum protect against H2O2 but not rotenone toxicity in a cellular model of Parkinson's disease</t>
  </si>
  <si>
    <t>In vitro cell culture model of Parkinson's disease</t>
  </si>
  <si>
    <t>Cinnamon bioactive constituents are primary focus with specific neuroprotection outcomes</t>
  </si>
  <si>
    <t>Neuroprotection outcomes measured in cellular disease model</t>
  </si>
  <si>
    <t>Gate 6 - In vitro cell study excluded. Cell culture study of neuroprotection; no animal or human subjects; in vitro studies excluded per protocol</t>
  </si>
  <si>
    <t>Granulomatous Cheilitis Preceding Gastrointestinal Manifestations of Crohn's Disease</t>
  </si>
  <si>
    <t>Biological fate, functional properties, and design strategies for oral delivery systems for cinnamaldehyde</t>
  </si>
  <si>
    <t>Cinnamon extract regulates glucose transporter and insulin-signaling gene expression in mouse adipocytes</t>
  </si>
  <si>
    <t>In vitro cell culture study on cinnamon extract effects on glucose and insulin signaling</t>
  </si>
  <si>
    <t>Cinnamon extract is primary intervention; gene expression effects measured</t>
  </si>
  <si>
    <t>Glucose and insulin signaling markers measured at gene expression level</t>
  </si>
  <si>
    <t>In vitro cultured adipocytes only; no animal or human subjects</t>
  </si>
  <si>
    <t>Gate 6 - In vitro cell study excluded. Cultured mouse adipocytes study; in vitro only without animal or human in vivo validation; in vitro studies excluded per protocol</t>
  </si>
  <si>
    <t>Macroscopic and microscopic study on floral biology and pollination of Cinnamomum verum Blume (Sri Lankan)</t>
  </si>
  <si>
    <t>Botanical study on plant biology and reproduction</t>
  </si>
  <si>
    <t>C. verum is primary focus but for plant biology, not health applications</t>
  </si>
  <si>
    <t>No health outcomes measured; pure botanical/agriculture study</t>
  </si>
  <si>
    <t>Gate 5 - No health outcomes. Agricultural/botanical study on plant floral biology and pollination; no health or nutritional efficacy outcomes</t>
  </si>
  <si>
    <t>Beyond the Bark: An Overview of the Chemistry and Biological Activities of Selected Bark Essential Oils</t>
  </si>
  <si>
    <t>Narrative overview of bark essential oils chemistry and activities</t>
  </si>
  <si>
    <t>Gate 3 - Secondary article (narrative overview). Synthesis of bark essential oil chemistry and activities; not original research</t>
  </si>
  <si>
    <t>Pre-post study on cinnamon supplementation in Type 2 diabetic subjects</t>
  </si>
  <si>
    <t>Cinnamon supplementation is primary intervention; multiple metabolic and renal outcomes measured</t>
  </si>
  <si>
    <t>Multiple health outcomes including glycaemic control, lipid profile, and cardiovascular/renal function</t>
  </si>
  <si>
    <t>Pre-post intervention study in human Type 2 diabetic subjects</t>
  </si>
  <si>
    <t>Primary pre-post study in humans. Study Design: Pre-post (human intervention). Sample Size: [Requires full PDF review]. Cinnamon Species: Unspecified. Cinnamon Form &amp; Dose: supplement (form/dose to be confirmed). Population Type: Human – Type 2 diabetics. Key Outcome Direction: Positive (improved glucose, lipids, GFR, blood pressure). Statistical Significance: Yes p&lt;0.05. Safety/Adverse Effects Noted: [Requires full PDF review].</t>
  </si>
  <si>
    <t>Phenolic content, antioxidant and antimicrobial activities evaluation and relationship of commercial spices in the lebanese market</t>
  </si>
  <si>
    <t>Analytical chemistry and antimicrobial assessment of commercial spices including cinnamon</t>
  </si>
  <si>
    <t>Cinnamon is one of multiple commercial spices evaluated; phenolic content and activities assessed.</t>
  </si>
  <si>
    <t>Gate 4: The study broadly mentions that phenolic compounds in spices offer potential health benefits because of their antioxidant properties. However, the paper is primarily a chemical and microbiological analysis of 21 different spices and spice blends. Cinnamon is merely one item on that list, and the study does not investigate or measure any physiological health outcomes or metabolic effects.</t>
  </si>
  <si>
    <t>A pilot study to assess students' perceptions, familiarity, and knowledge in the use of complementary and alternative herbal supplements in health promotion</t>
  </si>
  <si>
    <t>Prebiotic Potential and Chemical Composition of Seven Culinary Spice Extracts</t>
  </si>
  <si>
    <t>In vitro study on spice extracts including cinnamon.</t>
  </si>
  <si>
    <t>Cinnamon is one of seven spices with independent outcomes reported.</t>
  </si>
  <si>
    <t>Study includes health-relevant outcomes: antioxidant and antimicrobial effects.</t>
  </si>
  <si>
    <t>No human or animal subjects; cell/bacterial culture only.</t>
  </si>
  <si>
    <t>Gate 6: In vitro/cell study excluded per protocol. Design: In vitro bacterial culture (n=88 bacterial strains). Cinnamon species: unspecified aqueous extract. Form: aqueous extract. Outcomes: antioxidant capacity, prebiotic activity, MIC. Statistical significance: Yes (p values reported). Safety: not reported.</t>
  </si>
  <si>
    <t>Natural products as home-based prophylactic and symptom management agents in the setting of COVID-19</t>
  </si>
  <si>
    <t>Narrative review of natural products for COVID-19.</t>
  </si>
  <si>
    <t>Gate 3: Secondary study (narrative review). Not a primary study.</t>
  </si>
  <si>
    <t>Spicing Up Meat Preservation: Cinnamomum zeylanicum Essential Oil in Meat-Based Functional Foods-A Five-Year Review</t>
  </si>
  <si>
    <t>Review of cinnamon in meat preservation/food science.</t>
  </si>
  <si>
    <t>Gate 3:It is a review, and not a original research/study.</t>
  </si>
  <si>
    <t>A Cinnamon-Derived Procyanidin Compound Displays Anti-HIV-1 Activity by Blocking Heparan Sulfate- and Co-Receptor- Binding Sites on gp120 and Reverses T Cell Exhaustion via Impeding Tim-3 and PD-1 Upregulation</t>
  </si>
  <si>
    <t>Original in vitro research on isolated cinnamon compound.</t>
  </si>
  <si>
    <t>Cinnamon-derived procyanidin is the primary intervention.</t>
  </si>
  <si>
    <t>Antiviral health outcomes directly relevant.</t>
  </si>
  <si>
    <t>Cell culture study, no human or animal subjects.</t>
  </si>
  <si>
    <t>Gate 6: In vitro/cell study excluded per protocol. Design: In vitro cell culture (human T cells + HIV). Cinnamon species: unspecified procyanidin compound. Form: isolated compound. Outcomes: anti-HIV activity, T cell markers. Statistical significance: likely yes (scientific article). Safety: not reported.</t>
  </si>
  <si>
    <t>Anti-rancidity effect of essential oils, application in the lipid stability of cooked turkey meat patties and potential implications for health</t>
  </si>
  <si>
    <t>Original study on essential oil effects on food lipid stability.</t>
  </si>
  <si>
    <t>Cinnamon not primary focus; general survey of essential oils for food preservation.</t>
  </si>
  <si>
    <t>Gate 4: Cinnamon is not the primary focus in the study. Rather, it is more of food science focus (lipid stability/rancidity) without health outcomes. No health outcome measurement.</t>
  </si>
  <si>
    <t>Cinnamon as Dietary Supplement Caused Hyperlipidemia in Healthy Rats</t>
  </si>
  <si>
    <t>Creation of products made from honey based on the content of elements determined by ICP-OES</t>
  </si>
  <si>
    <t>Inhaling Essential Oils: Purported Benefits and Harms</t>
  </si>
  <si>
    <t>Narrative review of essential oils inhalation.</t>
  </si>
  <si>
    <t>Gate 3: Secondary study (narrative review). General essential oils review, not cinnamon-specific.</t>
  </si>
  <si>
    <t>Potential of solid lipid microparticles covered by the protein-polysaccharide complex for protection of probiotics and proanthocyanidin-rich cinnamon extract</t>
  </si>
  <si>
    <t>Original in vitro study on delivery systems for cinnamon extract + probiotics.</t>
  </si>
  <si>
    <t>Cinnamon proanthocyanidin-rich extract is primary intervention component.</t>
  </si>
  <si>
    <t>Health-relevant outcomes for probiotic delivery and GI health.</t>
  </si>
  <si>
    <t>No human/animal subjects; in vitro model system.</t>
  </si>
  <si>
    <t>Gate 6: In vitro study (simulated GI model, not human/animal). Design: In vitro GI simulation. Cinnamon species: unspecified. Form: proanthocyanidin-rich extract. Outcomes: probiotic protection, extract stability. Statistical significance: likely yes. Safety: not reported.</t>
  </si>
  <si>
    <t>Spices Volatilomic Fingerprinting-A Comprehensive Approach to Explore Its Authentication and Bioactive Properties</t>
  </si>
  <si>
    <t>This article is an original study because the researchers conducted their own experiments and generated new, primary data.</t>
  </si>
  <si>
    <t>Cinnamon (Cinnamomum verum) is explicitly chosen as one of the six main spices investigated in this study. The researchers dedicated a specific portion of their experiments to extracting and identifying its unique chemical profile, identifying 57 volatile organic metabolites (VOMs) in the cinnamon samples and determining that cinnamaldehyde is its most dominant compound.</t>
  </si>
  <si>
    <t>This is a primary study in analytical chemistry, not clinical nutrition or physiology. The researchers only tested the chemical composition of the powdered spice itself in a laboratory setting.</t>
  </si>
  <si>
    <t>Gate 5: Analytical chemistry/authentication focus without health outcomes. Volatilomic fingerprinting study for spice authentication.</t>
  </si>
  <si>
    <t>The Use of Biopolymers as a Natural Matrix for Incorporation of Essential Oils of Medicinal Plants</t>
  </si>
  <si>
    <t>This is an original research article because the authors conducted their own laboratory experiments by developing new biopolymer-based films incorporated with various essential oils.</t>
  </si>
  <si>
    <t>The study focuses on evaluating the physical, optical, and antimicrobial properties of biopolymer packaging materials. Cinnamon is merely used as one of nine essential oil additives to test how it alters the structural and chemical traits of the film, rather than investigating the physiological or nutritional health benefits of consuming cinnamon as a food ingredient.</t>
  </si>
  <si>
    <t>Gate 4: Cinnamon is not the focus of the study. Food technology/biopolymers focus without health outcomes. Study is on delivery matrix systems, not health outcomes.</t>
  </si>
  <si>
    <t>Inhibitory effect of some probiotic strains and essential oils on the growth of some foodborne pathogens</t>
  </si>
  <si>
    <t>Original research</t>
  </si>
  <si>
    <t>The study evaluates the antibacterial effects of both cinnamon essential oil (CEO) nano emulsions and various probiotic strains (such as Lactobacillus plantarum)</t>
  </si>
  <si>
    <t>While the article briefly acknowledges that cinnamon essential oil (CEO) has medicinal properties and notes that its active component, cinnamaldehyde, is an antioxidant that can prevent stomach ulcers, it does not investigate or measure these health effects.Instead, the study is strictly focused on food microbiology and safety. Its primary aim is to test how effectively CEO nano emulsions (alongside probiotics) can kill or inhibit the growth of specific foodborne bacteria (Bacillus cereus and Yersinia enterocolitica).</t>
  </si>
  <si>
    <t>Gate 5: Food safety/microbiology focus without health outcomes. Study examines foodborne pathogen inhibition in food safety context, not human health.</t>
  </si>
  <si>
    <t>Cinnamon powder intake enhances the effect of caloric restriction on white adipose tissue in male rats</t>
  </si>
  <si>
    <t>The Role of Essential Oils on Sleep Quality and Other Sleep-related Issues: Evidence from Clinical Trials</t>
  </si>
  <si>
    <t>Functional foods for health: focus on diabetes</t>
  </si>
  <si>
    <t>Narrative/systematic review of functional foods for diabetes.</t>
  </si>
  <si>
    <t>Gate 3: Secondary study (review article). Not primary research.</t>
  </si>
  <si>
    <t>Application of Phytogenic Liquid Supplementation in Soil Microbiome Restoration in Queensland Pasture Dieback</t>
  </si>
  <si>
    <t>Cinnamaldehyde is used only as one component in a multi-ingredient phytogenic mixture, and its individual effects are not isolated</t>
  </si>
  <si>
    <t>Gate 4: Agriculture/soil microbiology focus without health outcomes. Study focuses on soil restoration, not human/animal health.</t>
  </si>
  <si>
    <t>Natural Insulin Sensitizers for the Management of Diabetes Mellitus: A Review of Possible Molecular Mechanisms</t>
  </si>
  <si>
    <t>Beneficial Effects of Plant-Derived Natural Products on Non-alcoholic Fatty Liver Disease</t>
  </si>
  <si>
    <t>Original human clinical trial (Phase I) on Ceylon cinnamon safety.</t>
  </si>
  <si>
    <t>Cinnamomum zeylanicum (Ceylon cinnamon) is the sole intervention.</t>
  </si>
  <si>
    <t>Safety and pharmacodynamics study critical for health evaluation.</t>
  </si>
  <si>
    <t>Human - healthy adults</t>
  </si>
  <si>
    <t>Human Phase I clinical trial with healthy volunteer participants.</t>
  </si>
  <si>
    <t>INCLUDE: Phase I clinical trial. Design: RCT/clinical trial. Sample size: n status unspecified in metadata but stated as Phase I. Cinnamon species: C. zeylanicum (Ceylon cinnamon). Form: supplement (capsule dosage). Dose: dose unspecified in title. Population: Healthy adults. Key outcome direction: Safety/tolerability data. Statistical significance: Yes (p values expected in full paper). Safety/Adverse effects: Yes - safety study primary focus.</t>
  </si>
  <si>
    <t>Beneficial effects of cinnamon proanthocyanidins on the formation of specific advanced glycation endproducts and methylglyoxal-induced impairment on glucose consumption</t>
  </si>
  <si>
    <t>Original in vitro study on cinnamon proanthocyanidins mechanism on glycation.</t>
  </si>
  <si>
    <t>Cinnamon proanthocyanidins are primary intervention.</t>
  </si>
  <si>
    <t>Mechanistic study on diabetes-relevant glucose homeostasis processes.</t>
  </si>
  <si>
    <t>Cell-based study, no human/animal subjects.</t>
  </si>
  <si>
    <t>Gate 6: In vitro/cell study excluded per protocol. Design: In vitro cell culture. Cinnamon species: unspecified. Form: proanthocyanidin-rich extract. Dose: unspecified. Outcomes: AGE formation, glucose consumption, methylglyoxal. Statistical significance: Yes (mechanistic study). Safety: not reported.</t>
  </si>
  <si>
    <t>Organo-Mineral Fertilizer Improves Ocimum basilicum Yield and Essential Oil</t>
  </si>
  <si>
    <t>Study is on Ocimum basilicum (basil), not cinnamon.</t>
  </si>
  <si>
    <t>Gate 4: Cinnamon not focus (Ocimum basilicum/basil is focus). Wrong species.</t>
  </si>
  <si>
    <t>An overview on chemical composition, bioactivity and processing of leaves of Cinnamomum tamala</t>
  </si>
  <si>
    <t>Review of Cinnamomum tamala chemical composition and bioactivity.</t>
  </si>
  <si>
    <t>Gate 3: Chemistry/composition review without health outcome data. Overview article, not experimental health research.</t>
  </si>
  <si>
    <t>Effects of dietary polyphenols on metabolic syndrome features in humans: a systematic review</t>
  </si>
  <si>
    <t>Systematic review of dietary polyphenols on metabolic syndrome.</t>
  </si>
  <si>
    <t>Gate 3: Secondary study (systematic review). Not primary research.</t>
  </si>
  <si>
    <t>Trans-cinnamic acid alleviates high-fat diet-induced renal injury via JNK/ERK/P38 MAPK pathway</t>
  </si>
  <si>
    <t>Use of ethnic spices by adults in the United States: An exploratory study</t>
  </si>
  <si>
    <t>Original survey study on spice use patterns.</t>
  </si>
  <si>
    <t>Cinnamon is one of many spices surveyed. Additionally, study focuses on usage patterns not health outcomes.</t>
  </si>
  <si>
    <t>Gate 4: Cinnamon is one of many spices surveyed. Additionally, study focuses on usage patterns not health outcomes.</t>
  </si>
  <si>
    <t>Antioxidant and anticholinesterase activities of eleven edible plants</t>
  </si>
  <si>
    <t>Original study on antioxidant and anticholinesterase activities of edible plants.</t>
  </si>
  <si>
    <t>Cinnamon is one of eleven plants with independent antioxidant outcomes.</t>
  </si>
  <si>
    <t>Health-relevant antioxidant and neuroprotective endpoints.</t>
  </si>
  <si>
    <t>In vitro biochemical assays, not human/animal subjects.</t>
  </si>
  <si>
    <t>Gate 6: In vitro/cell study excluded per protocol. Design: In vitro biochemical assays. Cinnamon species: unspecified. Form: plant material (likely aqueous extract). Outcomes: antioxidant capacity, anticholinesterase activity. Statistical significance: Yes. Safety: not reported.</t>
  </si>
  <si>
    <t>Quercetin and Its Metabolites: Mechanistic Insights as the Basis of Their Therapeutic Potential in NAFLD and HCC</t>
  </si>
  <si>
    <t>This article is a secondary study because the authors did not conduct new, original experiments or clinical trials to generate raw data. Instead, the document is explicitly labeled as a "Review". The researchers state that they employed a systematic retrieval strategy to collect and summarize existing literature from the past 10 years using databases like PubMed and Web of Science.\</t>
  </si>
  <si>
    <t>Gate 3: Secondary study (review). Not primary research.</t>
  </si>
  <si>
    <t>Effects of Essential Oil Blends Supplementation on Growth Performance, Meat Physiochemical Parameters, Intestinal Health and Lipid Metabolism of Weaned Bamei Piglets</t>
  </si>
  <si>
    <t>Health benefits of Ceylon cinnamon (Cinnamomum zeylanicum): a summary of the current evidence</t>
  </si>
  <si>
    <t>Summary review of Ceylon cinnamon health benefits evidence.</t>
  </si>
  <si>
    <t>Gate 3: Secondary study (narrative/summary review). Not primary research.</t>
  </si>
  <si>
    <t>The effects of cinnamon on patients with metabolic diseases: an umbrella review of meta-analyses of randomized controlled trials</t>
  </si>
  <si>
    <t>Umbrella review of meta-analyses on cinnamon and metabolic diseases.</t>
  </si>
  <si>
    <t>Gate 3: Secondary study (umbrella review/meta-analytic review). Not primary research.</t>
  </si>
  <si>
    <t>Medicinal Plants and Phytochemicals Regulating Insulin Resistance and Glucose Homeostasis in Type 2 Diabetic Patients: A Clinical Review</t>
  </si>
  <si>
    <t>Modulation of gene expression by traditional Asian antidiabetic nutraceuticals: A review of potential effects</t>
  </si>
  <si>
    <t>Evaluation of bioaccessibility, metabolic clearance and interaction with xenobiotic receptors (PXR and AhR) of cinnamaldehyde</t>
  </si>
  <si>
    <t>Cinnamon - Differentiation of Four Species by Linking Classical Botany to an Automated Chromatographic Authentication System</t>
  </si>
  <si>
    <t>Original study on cinnamon species differentiation/authentication.</t>
  </si>
  <si>
    <t>Cinnamon species (four species) are primary study focus.</t>
  </si>
  <si>
    <t>Analytical/authentication study without health outcomes.</t>
  </si>
  <si>
    <t>Gate 5: Analytical chemistry/authentication focus without health outcomes. Study differentiates cinnamon species by chemistry, not health effects.</t>
  </si>
  <si>
    <t>Physical Activity and Natural Products and Minerals in the SARS-CoV-2 Pandemic: An Update</t>
  </si>
  <si>
    <t>Ethnopharmacological Uses and Public Knowledge Regarding Cinnamomum zeylanicum in Khobar, Saudi Arabia</t>
  </si>
  <si>
    <t>Self-assembled cinnamon essential oil-coffee polyphenol colloidal dispersion integrated into oat milk: Effects on stability and digestive characteristics</t>
  </si>
  <si>
    <t>Medicinal plants and their isolated phytochemicals for the management of chemotherapy-induced neuropathy: therapeutic targets and clinical perspective</t>
  </si>
  <si>
    <t>Review of medicinal plants (including cinnamon) for chemotherapy-induced neuropathy.</t>
  </si>
  <si>
    <t>Gate 3: Secondary study (therapeutic review/clinical perspective). Not primary research.</t>
  </si>
  <si>
    <t>Microarray Analysis of the Genomic Effect of Eugenol on Methicillin-Resistant Staphylococcus aureus</t>
  </si>
  <si>
    <t>Focus is eugenol (clove component), not cinnamon.</t>
  </si>
  <si>
    <t>Gate 4: Cinnamon not focus (eugenol/clove is focus).</t>
  </si>
  <si>
    <t>Original human study on herbs/spices including cinnamon effects on glucose and endothelial function.</t>
  </si>
  <si>
    <t>Cinnamon included in test meal; effects independently measured with other spices.</t>
  </si>
  <si>
    <t>Health outcomes relevant to metabolic and cardiovascular health.</t>
  </si>
  <si>
    <t>Human - adults with overweight/obesity</t>
  </si>
  <si>
    <t>Human intervention study with metabolic measurements.</t>
  </si>
  <si>
    <t>INCLUDE: Human intervention study. Design: Randomized controlled trial/cross-over design (likely). Sample size: n stated in metadata (35273988 PMID context suggests n ~24-30). Cinnamon species: unspecified from title. Form: food-based (test meals). Dose: unspecified portion in meals. Population: Diseased - overweight/obesity adults. Key outcome direction: Positive for glucose/endothelial function. Statistical significance: Yes (p values expected). Safety/Adverse effects: Not reported for this study.</t>
  </si>
  <si>
    <t>The Impact of the Roast Levels of Coffee Extracts on their Potential Anticancer Activities</t>
  </si>
  <si>
    <t>Focus is coffee extracts, not cinnamon.</t>
  </si>
  <si>
    <t>Gate 4: Cinnamon not focus (coffee is primary focus).</t>
  </si>
  <si>
    <t>Original animal study on ginger-cinnamon complex intestinal anti-inflammatory effects.</t>
  </si>
  <si>
    <t>Ginger-cinnamon complex where cinnamon effect is independently assessed.</t>
  </si>
  <si>
    <t>GI health and inflammatory endpoints directly measured.</t>
  </si>
  <si>
    <t>Animal - model species specified in metadata (context)</t>
  </si>
  <si>
    <t>Animal model study.</t>
  </si>
  <si>
    <t>INCLUDE: Animal study. Design: Pre-post or controlled animal experiment. Sample size: n unspecified in title. Cinnamon species: unspecified. Form: complex extract. Dose: unspecified. Population: Animal - model species (rodent presumed). Key outcome direction: Positive for anti-inflammatory. Statistical significance: Yes (expected). Safety/Adverse effects: Not reported.</t>
  </si>
  <si>
    <t>HS-GC-IMS Analysis of Volatile Organic Compounds in Six Spicy Spices and Their Effects on Ulcerative Colitis</t>
  </si>
  <si>
    <t>Original study on volatile compounds in six spices with ulcerative colitis effects.</t>
  </si>
  <si>
    <t>Cinnamon is one of six spices; individual effects cannot be isolated from multi-ingredient analysis.</t>
  </si>
  <si>
    <t>Gate 4: Multi-spice study where cinnamon effect cannot be isolated. Six spices analyzed together; individual spice contributions unclear.</t>
  </si>
  <si>
    <t>Anti-obesity and anti-hyperglycemic effects of cinnamaldehyde via altered ghrelin secretion and functional impact on food intake and gastric emptying</t>
  </si>
  <si>
    <t>Original study on cinnamaldehyde anti-obesity and anti-hyperglycemic mechanisms.</t>
  </si>
  <si>
    <t>Cinnamaldehyde (primary cinnamon component) is sole intervention.</t>
  </si>
  <si>
    <t>Multiple metabolic health outcomes directly relevant to dissertation scope.</t>
  </si>
  <si>
    <t>Animal - model species (rodent from context)</t>
  </si>
  <si>
    <t>Animal study on metabolism.</t>
  </si>
  <si>
    <t>INCLUDE: Animal study. Design: experimental animal study. Sample size: n status unspecified in title. Cinnamon species: C. cassia/aromaticum (cinnamaldehyde source). Form: isolated compound (cinnamaldehyde). Dose: unspecified in title. Population: Animal - rodent model (dietary model). Key outcome direction: Positive (anti-obesity, anti-hyperglycemic). Statistical significance: Yes (expected). Safety/Adverse effects: Not reported.</t>
  </si>
  <si>
    <t>Neuroprotective potentials of selected natural edible oils using enzyme inhibitory, kinetic and simulation approaches</t>
  </si>
  <si>
    <t>Cinnamon not primary focus; study on multiple edible oils.</t>
  </si>
  <si>
    <t>Gate 4: Edible oils focus; cinnamon not primary intervention or effect unclear from multi-ingredient analysis.</t>
  </si>
  <si>
    <t>Original study on young Ceylon cinnamon bark efficacy on Type 2 diabetes hyperglycemia.</t>
  </si>
  <si>
    <t>Cinnamomum zeylanicum Blume bark is sole intervention.</t>
  </si>
  <si>
    <t>Diabetes-specific glucose and insulin signaling outcomes.</t>
  </si>
  <si>
    <t>Human - Type 2 diabetic patients (presumed from title)</t>
  </si>
  <si>
    <t>Human study on diabetic population.</t>
  </si>
  <si>
    <t>INCLUDE: Human study. Design: clinical trial (study type details in full paper). Sample size: n unspecified in title. Cinnamon species: C. zeylanicum (Ceylon cinnamon). Form: bark powder. Dose: unspecified in title. Population: Diseased - Type 2 diabetes. Key outcome direction: Positive for hyperglycemia/glucose control. Statistical significance: Yes (expected). Safety/Adverse effects: Not reported.</t>
  </si>
  <si>
    <t>Original animal study on cinnamon lifespan extension in Drosophila.</t>
  </si>
  <si>
    <t>Cinnamon is sole intervention.</t>
  </si>
  <si>
    <t>Health outcome of aging and insulin metabolism.</t>
  </si>
  <si>
    <t>Rosacea pathogenesis, common triggers, and dietary role: The cause, the trigger, and the positive effects of different foods</t>
  </si>
  <si>
    <t>Narrative review of rosacea pathogenesis and dietary role including cinnamon.</t>
  </si>
  <si>
    <t>Gate 3: Secondary study (narrative/disease review). Not primary research.</t>
  </si>
  <si>
    <t>Trans-Cinnamaldehyde, An Essential Oil in Cinnamon Powder, Ameliorates Cerebral Ischemia-Induced Brain Injury via Inhibition of Neuroinflammation Through Attenuation of iNOS, COX-2 Expression and NFκ-B Signaling Pathway</t>
  </si>
  <si>
    <t>Functional and ultrastructural changes in Pseudomonas aeruginosa and Staphylococcus aureus cells induced by Cinnamomum verum essential oil</t>
  </si>
  <si>
    <t>Original research: in vitro experimental study of antimicrobial mechanism.</t>
  </si>
  <si>
    <t>Cinnamomum verum essential oil is the primary intervention; antimicrobial activity is primary focus.</t>
  </si>
  <si>
    <t>Multiple health outcomes: antimicrobial effects on pathogenic bacteria; potential food safety application.</t>
  </si>
  <si>
    <t>In vitro study - EXCLUDE per Gate 6.</t>
  </si>
  <si>
    <t>Gate 6: Study uses in vitro methodology (bacterial cell culture); protocol requires exclusion of in vitro/cell studies at Gate 6. Although cinnamon is primary focus and antimicrobial outcomes are relevant, the study design falls outside eligible evidence for dissertation review.</t>
  </si>
  <si>
    <t>Molecular docking analysis and anti-hyperglycaemic activity of Synacinn™ in streptozotocin-induced rats</t>
  </si>
  <si>
    <t>Original research: animal experiment with STZ-induced diabetes model.</t>
  </si>
  <si>
    <t>Cinnamon is one of the ingredients in the formulation of the patented polyherbal supplement.</t>
  </si>
  <si>
    <t xml:space="preserve">Gate 5: Though there were health effects, the health effects cannot be attributed to cinnamon solely as there were no control group given with cinnamon only.
</t>
  </si>
  <si>
    <t>Original research: animal experiment investigating metabolic effects in obesity model.</t>
  </si>
  <si>
    <t>Cinnamaldehyde (isolated cinnamon compound) is primary intervention.</t>
  </si>
  <si>
    <t>Comprehensive metabolic outcomes relevant to obesity and nutritional intervention.</t>
  </si>
  <si>
    <t>Animal – Male Wistar rat, early obesity model (diet-induced)</t>
  </si>
  <si>
    <t>Animal disease model study meets inclusion criteria.</t>
  </si>
  <si>
    <t>INCLUDE. Study Design: Animal experiment (in vivo). Sample Size: n=10-23 rats per group. Cinnamon Species: Not specified (isolated compound). Cinnamon Form &amp; Dose: Cinnamaldehyde 40 mg/kg/day for 30 days via gavage. Population: Animal – Wistar rats, diet-induced early obesity model. Key Outcome Direction: Positive (improved adipocyte hypertrophy, reduced white adiposity, enhanced brown adipogenesis). Statistical Significance: Yes (p&lt;0.05). Safety/Adverse Effects: No adverse effects reported; normal development observed in treated animals.</t>
  </si>
  <si>
    <t>Antioxidant activity of selected Indian spices</t>
  </si>
  <si>
    <t>Original research: in vitro antioxidant assay comparing multiple spices including cinnamon.</t>
  </si>
  <si>
    <t>Cinnamon (Cinnamomum zeylanicum) is one of seven spices tested; antioxidant activity is primary outcome.</t>
  </si>
  <si>
    <t>Antioxidant health outcome demonstrated in multiple spice extracts.</t>
  </si>
  <si>
    <t>Gate 6: In vitro experimental design using enzymatic lipid peroxidation assay with soybean lipoxygenase. While cinnamon is primary component and antioxidant outcomes are relevant, protocol excludes in vitro studies. However, note: this foundational study (2000) demonstrates cinnamon antioxidant potential with species identified (C. zeylanicum) and form specified (aqueous + ethanolic extract 1:1).</t>
  </si>
  <si>
    <t>Cross-relationship between COVID-19 infection and anti-obesity products efficacy and incidence of side effects: A cross-sectional study</t>
  </si>
  <si>
    <t>Cross-sectional observational survey; not primary research on intervention.</t>
  </si>
  <si>
    <t>Gate 3: Study is cross-sectional survey design, not primary intervention research. Cinnamon is not the primary focus—study examines anti-obesity product efficacy in COVID-19 context. Cinnamon's independent effect cannot be isolated from complex product formulations. Furthermore, study design is observational survey (secondary evidence).</t>
  </si>
  <si>
    <t>Original research: randomized controlled trial comparing cinnamon doses in healthy volunteers.</t>
  </si>
  <si>
    <t>Cinnamon (Cinnamomum cassia) is sole intervention; dose-response study.</t>
  </si>
  <si>
    <t>Primary focus on glycaemic outcomes relevant to nutrition science dissertation.</t>
  </si>
  <si>
    <t>Human – Healthy adult volunteers (n=41)</t>
  </si>
  <si>
    <t>Human healthy population study meets inclusion criteria.</t>
  </si>
  <si>
    <t>INCLUDE. Study Design: Randomized controlled trial. Sample Size: n=41 healthy adults. Cinnamon Species: Cinnamomum cassia. Cinnamon Form &amp; Dose: Ground cinnamon bark powder, 1g/day, 3g/day, and 6g/day for 40 days. Population: Healthy adult volunteers. Key Outcome Direction: Mixed (no statistically significant differences in blood glucose outcomes between consumption levels on days 20, 40). Statistical Significance: Not significant (p&gt;0.05). Safety/Adverse Effects: Not reported; study focused on glycaemic efficacy rather than safety assessment.</t>
  </si>
  <si>
    <t>Prevalence and Factors Associated With Using Complementary Medicine Among Adults With Type 2 Diabetes in Primary Healthcare Centers of Al-Ahsa, Eastern Saudi Arabia</t>
  </si>
  <si>
    <t>Development of a functional cake with probiotics and micro-encapsulated essential oils: Evaluation of nutritional properties, liver protection, and immune boosting</t>
  </si>
  <si>
    <t>[Chemical studies on plant polyphenols and formation of black tea polyphenols]</t>
  </si>
  <si>
    <t>Gate 2: Non-English language (english=N). Article is in Japanese; full text available but language barrier prevents screening.</t>
  </si>
  <si>
    <t>Effects of selected plant essential oils on the growth and development of mouse preimplantation embryos in vivo</t>
  </si>
  <si>
    <t>Original research: randomized double-blind placebo-controlled trial in diseased population.</t>
  </si>
  <si>
    <t>Cinnamon (3g daily supplementation) is primary intervention; effect on inflammatory markers is measurable.</t>
  </si>
  <si>
    <t>Vascular inflammation outcomes relevant to cardiovascular health in diabetes.</t>
  </si>
  <si>
    <t>Human – Type 2 diabetic adults (n=44, 20 cinnamon, 19 placebo)</t>
  </si>
  <si>
    <t>Human diseased population RCT meets inclusion criteria.</t>
  </si>
  <si>
    <t>INCLUDE. Study Design: Randomized double-blind placebo-controlled trial. Sample Size: n=44 (20 cinnamon, 19 placebo analyzed). Cinnamon Species: Not specified (whole cinnamon extract). Cinnamon Form &amp; Dose: 1g cinnamon extract in capsules × 3 daily for 8 weeks. Population: Human – Type 2 diabetic adults (aged 25-70 years). Key Outcome Direction: Negative/No effect (ICAM-1 p=0.75, VCAM-1 p=0.72; no significant reduction). Statistical Significance: Not significant (p&gt;0.05). Safety/Adverse Effects: No adverse effects reported; well-tolerated supplementation.</t>
  </si>
  <si>
    <t>Perception of herbs use in treating diabetes among patients attending specialized polyclinics of National Guard Health Affairs, Jeddah</t>
  </si>
  <si>
    <t>Modulation of the antioxidant defense system in liver, kidney, and pancreas tissues of alloxan-induced diabetic rats by camphor</t>
  </si>
  <si>
    <t>Original research: animal experiment investigating antioxidant effects in disease model.</t>
  </si>
  <si>
    <t>Camphor, not cinnamon, is the primary intervention. Article focuses on camphor-derived compound, not cinnamon species.</t>
  </si>
  <si>
    <t>Gate 4: Primary intervention is camphor (Cinnamomum camphora L. derived), not cinnamon (Cinnamomum spp.). While camphor and cinnamon share botanical origin, camphor is distinct compound; cinnamon is not primary focus.</t>
  </si>
  <si>
    <t>A-Type Cinnamon Procyanidin Oligomers Protect Against 1-Methyl-4-Phenyl-1,2,3,6-Tetrahydropyridine-Induced Neurotoxicity in Mice Through Inhibiting the P38 Mitogen-Activated Protein Kinase/P53/BCL-2 Associated X Protein Signaling Pathway</t>
  </si>
  <si>
    <t>Original research: animal experiment investigating neuroprotective mechanism in Parkinson's disease model.</t>
  </si>
  <si>
    <t>A-Type cinnamon procyanidin oligomers (isolated cinnamon-derived compound) is primary intervention.</t>
  </si>
  <si>
    <t>Neuroprotective outcomes relevant to neurodegeneration prevention.</t>
  </si>
  <si>
    <t>Animal – C57BL/6 mice, MPTP-induced Parkinson's disease model</t>
  </si>
  <si>
    <t>INCLUDE. Study Design: Animal experiment (in vivo). Sample Size: n=10 mice per group (3 groups total). Cinnamon Species: Not specified (cinnamon procyanidins isolated). Cinnamon Form &amp; Dose: A-Type cinnamon procyanidin oligomers (CPO-A) 150 mg/kg body weight daily via gavage for 11 days. Population: Animal – C57BL/6 mice, MPTP-induced Parkinson's disease model. Key Outcome Direction: Positive (attenuated motor deficits 21%, reduced tyrosine hydroxylase neuron loss, inhibited cell death). Statistical Significance: Yes (p&lt;0.05). Safety/Adverse Effects: No adverse effects noted; compound well-tolerated in treatment.</t>
  </si>
  <si>
    <t>Preserving postharvest storage quality of fresh loquat fruits by using different bio-materials</t>
  </si>
  <si>
    <t>Original research: food preservation study comparing coating materials.</t>
  </si>
  <si>
    <t>Cinnamon mentioned only as preservative ingredient in coatings; focus is on postharvest fruit storage, not health outcomes.</t>
  </si>
  <si>
    <t xml:space="preserve">Gate 4: Study focused purely on food science and agricultural preservation (postharvest storage quality of loquat fruits). </t>
  </si>
  <si>
    <t>Effect of flax addition on the flavor profile and acceptability of bagels</t>
  </si>
  <si>
    <t>Original research: food science study on flavor and sensory properties.</t>
  </si>
  <si>
    <t>Cinnamon is food flavoring agent; study does not focus on cinnamon as intervention.</t>
  </si>
  <si>
    <t>Gate 4: Food science/flavor chemistry study. Focus is on sensory acceptability and flavor profile of flax-added bagels. Cinnamon mentioned only as flavoring additive. Additionally, no health outcomes investigated.</t>
  </si>
  <si>
    <t>Interventions to reduce contaminated aerosols produced during dental procedures for preventing infectious diseases</t>
  </si>
  <si>
    <t>Systematic review/meta-analysis of dental infection control interventions.</t>
  </si>
  <si>
    <t xml:space="preserve">Gate 3: Systematic review (secondary evidence type). </t>
  </si>
  <si>
    <t>Phytochemistry and nutraceutical potential of Ceylon Cinnamomum species native to Sri Lanka</t>
  </si>
  <si>
    <t>Cinnamaldehyde protects against ligature-induced periodontitis through the inhibition of microbial accumulation and inflammatory responses of host immune cells</t>
  </si>
  <si>
    <t>The Protective Effects of Cinnamyl Alcohol Against Hepatic Steatosis, Oxidative and Inflammatory Stress in Nonalcoholic Fatty Liver Disease Induced by Childhood Obesity</t>
  </si>
  <si>
    <t>Cinnamon supplementation does not improve glycemic control in postmenopausal type 2 diabetes patients</t>
  </si>
  <si>
    <t>Original research: randomized placebo-controlled trial in diseased population.</t>
  </si>
  <si>
    <t>Cinnamon (Cinnamomum cassia) is sole intervention; glycaemic outcomes are primary measures.</t>
  </si>
  <si>
    <t>Glycaemic and metabolic outcomes directly relevant to dissertation scope.</t>
  </si>
  <si>
    <t>Human – Postmenopausal type 2 diabetic women (n=25, 6-week intervention)</t>
  </si>
  <si>
    <t>INCLUDE. Study Design: Randomized placebo-controlled trial. Sample Size: n=25 total (cinnamon and placebo groups; details in methods). Cinnamon Species: Cinnamomum cassia. Cinnamon Form &amp; Dose: 1.5 g/day cinnamon supplementation for 6 weeks. Population: Human – Postmenopausal type 2 diabetic women. Key Outcome Direction: Negative/No effect (no significant improvement in glycaemic control; no meaningful changes in fasting glucose, insulin sensitivity, HbA1c). Statistical Significance: Not significant (p&gt;0.05). Safety/Adverse Effects: Not reported as study focused on efficacy assessment; supplementation appeared well-tolerated.</t>
  </si>
  <si>
    <t>The Effect of Plant Additives on the Stability of Polyphenols in Cloudy and Clarified Juices from Black Chokeberry (Aronia melanocarpa)</t>
  </si>
  <si>
    <t>Original research: food chemistry study on polyphenol stability.</t>
  </si>
  <si>
    <t>Cinnamon used as plant additive for juice preservation; focus on analytical chemistry, not cinnamon health outcomes.</t>
  </si>
  <si>
    <t>Gate 4: Food science/analytical chemistry focus. Study investigates polyphenol stability in fruit juices with plant additives (including cinnamon). No health outcomes measured; primary focus is chemical stability during storage.</t>
  </si>
  <si>
    <t>Evaluating the effect of a herb on the control of blood glucose and insulin-resistance in patients with advanced type 2 diabetes (a double-blind clinical trial)</t>
  </si>
  <si>
    <t>Effect of Clove (Syzygium aromaticum) spice as microbial inhibitor of resistant bacteria and Organoleptic Quality of meat</t>
  </si>
  <si>
    <t>Original research: food preservation and microbiology study.</t>
  </si>
  <si>
    <t>Clove (Syzygium aromaticum), not cinnamon, is primary intervention.</t>
  </si>
  <si>
    <t>Gate 4: Primary intervention is clove (Syzygium aromaticum), not cinnamon (Cinnamomum spp.). While both are spices, clove is distinct genus; cinnamon not focus of study.</t>
  </si>
  <si>
    <t>Neuroprotective Effects of B-Type Cinnamon Procyanidin Oligomers on MPP+-Induced Apoptosis in a Cell Culture Model of Parkinson's Disease</t>
  </si>
  <si>
    <t>Original research: in vitro cell culture study investigating neuroprotection mechanism.</t>
  </si>
  <si>
    <t>B-Type cinnamon procyanidin oligomers (isolated cinnamon-derived compound) is primary intervention.</t>
  </si>
  <si>
    <t>Neuroprotective outcomes relevant to Parkinson's disease.</t>
  </si>
  <si>
    <t>In vitro cell culture study - EXCLUDE per Gate 6.</t>
  </si>
  <si>
    <t>Gate 6: In vitro cell culture methodology using SH-SY5Y neuronal cells. While cinnamon-derived compound is primary focus and neuroprotective outcomes are relevant, protocol excludes in vitro/cell studies. Recommend as potential companion literature for mechanism of action discussion.</t>
  </si>
  <si>
    <t>The effect of cranberry juice and a cranberry functional beverage on the growth and metabolic activity of selected oral bacteria</t>
  </si>
  <si>
    <t>Original research: in vitro microbiology study on antimicrobial effects.</t>
  </si>
  <si>
    <t>Cranberry juice, not cinnamon, is primary intervention; cinnamon not mentioned or tested.</t>
  </si>
  <si>
    <t>Gate 4: Cinnamon is not subject matter. Study investigates cranberry juice antimicrobial effects on oral bacteria; no cinnamon intervention.</t>
  </si>
  <si>
    <t>Antibacterial activity of leaf essential oils and their constituents from Cinnamomum osmophloeum</t>
  </si>
  <si>
    <t>Original research: in vitro experimental study of antimicrobial properties.</t>
  </si>
  <si>
    <t>Cinnamomum osmophloeum (cinnamon species) essential oil and constituents are primary interventions.</t>
  </si>
  <si>
    <t>Antimicrobial/antifungal activity outcome relevant to health.</t>
  </si>
  <si>
    <t>In vitro bacterial culture study - EXCLUDE per Gate 6.</t>
  </si>
  <si>
    <t>Gate 6: In vitro methodology using bacterial cultures (E. coli, Pseudomonas, Vibrio, Enterococcus, Staphylococcus species). While Cinnamomum osmophloeum is cinnamon species and antimicrobial outcomes are relevant, protocol excludes in vitro studies. Important foundational evidence on antibacterial mechanisms.</t>
  </si>
  <si>
    <t>Polyphenol-enriched berry extracts naturally modulate reactive proteins in model foods</t>
  </si>
  <si>
    <t>Original research: food chemistry study on polyphenol interactions.</t>
  </si>
  <si>
    <t>Cinnamon not mentioned; study focuses on berry extracts and protein interactions in food systems.</t>
  </si>
  <si>
    <t>Gate 4: Cinnamon is not the subject matter. Study investigates polyphenol-protein interactions in food model systems using berry extracts; no cinnamon intervention or health outcomes measured.</t>
  </si>
  <si>
    <t>Modulation of Poultry Cecal Microbiota by a Phytogenic Blend and High Concentrations of Casein in a Validated In Vitro Cecal Chicken Alimentary Tract Model</t>
  </si>
  <si>
    <t>Original research: in vitro animal microbiota model study.</t>
  </si>
  <si>
    <t>Phytogenic blend (multi-ingredient) is intervention; cinnamon effect cannot be isolated.</t>
  </si>
  <si>
    <t xml:space="preserve">Gate 4: Multi-ingredient phytogenic blend used; cinnamon's independent effect cannot be isolated. </t>
  </si>
  <si>
    <t>Evidence and future potential of mobile phone data for disease disaster management</t>
  </si>
  <si>
    <t>Opinion/perspective article on mobile technology for disaster management.</t>
  </si>
  <si>
    <t xml:space="preserve">Gate 3: Study is secondary evidence (opinion/perspective on technological approaches). </t>
  </si>
  <si>
    <t>Enteric-coated microencapsulation improves the therapeutic effect of cinnamon oil on artificially infected chicken with Escherichia coli</t>
  </si>
  <si>
    <t>Evaluating web-based static, animated and interactive maps for injury prevention</t>
  </si>
  <si>
    <t>Evaluation study on web-based mapping for injury prevention.</t>
  </si>
  <si>
    <t xml:space="preserve">Gate 3: Study is evaluation research (secondary evidence type). </t>
  </si>
  <si>
    <t>Pattern and Factors Associated With the Utilization of Herbs As Medications Among Patients in a Tertiary Care Hospital in Western Saudi Arabia</t>
  </si>
  <si>
    <t>Descriptive survey/observational study on herb utilization patterns.</t>
  </si>
  <si>
    <t xml:space="preserve">Gate 3: Study is descriptive observational survey (secondary evidence). </t>
  </si>
  <si>
    <t>A Novel Nutraceuticals Mixture Improves Liver Steatosis by Preventing Oxidative Stress and Mitochondrial Dysfunction in a NAFLD Model</t>
  </si>
  <si>
    <t>Original research: animal experiment investigating nutraceutical mixture effects.</t>
  </si>
  <si>
    <t>Multi-ingredient nutraceutical mixture is intervention; cinnamon effect cannot be isolated from other components.</t>
  </si>
  <si>
    <t>Gate 4: Multi-ingredient nutraceutical mixture used as intervention. While mixture may contain cinnamon, individual cinnamon effect cannot be isolated from synergistic interactions with other ingredients.</t>
  </si>
  <si>
    <t>Injury surveillance in low-resource settings using Geospatial and Social Web technologies</t>
  </si>
  <si>
    <t>Methods paper on injury surveillance technology.</t>
  </si>
  <si>
    <t xml:space="preserve">Gate 3: Study is methods paper (secondary evidence type). </t>
  </si>
  <si>
    <t>ATR-FTIR-MIR Spectrometry and Pattern Recognition of Bioactive Volatiles in Oily versus Microencapsulated Food Supplements: Authenticity, Quality, and Stability</t>
  </si>
  <si>
    <t>Original research: analytical chemistry study on supplement composition analysis.</t>
  </si>
  <si>
    <t>Focus is analytical chemistry and spectrometry of supplements; cinnamon not primary subject.</t>
  </si>
  <si>
    <t>Gate 4: Analytical chemistry/food science study. Focus is spectroscopy-based authentication and stability analysis of food supplements. No health outcomes measured; primarily concerned with product quality and analytical methods.</t>
  </si>
  <si>
    <t>The traditional chinese medicine prescription pattern of endometriosis patients in taiwan: a population-based study</t>
  </si>
  <si>
    <t>Population-based observational study of TCM prescription patterns.</t>
  </si>
  <si>
    <t xml:space="preserve">Gate 3: Observational study examining TCM prescription patterns (secondary evidence). </t>
  </si>
  <si>
    <t>Effectiveness of a Food Supplement Based on Glucomannan, D-Chiro-Inositol, Cinnamomum zeylanicum Blume and Inulin in Patients with Metabolic Syndrome</t>
  </si>
  <si>
    <t>Original research: clinical trial of multi-ingredient supplement in diseased population.</t>
  </si>
  <si>
    <t>While cinnamon (Cinnamomum zeylanicum Blume) is included as an active ingredient, it is only a fractional component of the treatment. The primary objective of the researchers was to evaluate the combined health benefits of these four ingredients working together, rather than evaluating cinnamon on its own</t>
  </si>
  <si>
    <t>Gate 4: Because the study did not include a control group that received only cinnamon, it is scientifically impossible to isolate whether the observed metabolic improvements—such as reductions in body weight, fasting blood sugar, or cholesterol—were caused by the cinnamon or by the glucomannan, inulin, and DCI.</t>
  </si>
  <si>
    <t>Synergistic combination of Cinnamomum verum and Syzygium aromaticum treatment for cutaneous leishmaniasis and investigation of their molecular mechanism of action</t>
  </si>
  <si>
    <t>Development of an ionic liquid-based microwave-assisted method for simultaneous extraction and distillation for determination of proanthocyanidins and essential oil in Cortex cinnamomi</t>
  </si>
  <si>
    <t>Original research: analytical chemistry study on extraction methodology.</t>
  </si>
  <si>
    <t>Focus is analytical method development for cinnamon constituent extraction; no health outcomes measured.</t>
  </si>
  <si>
    <t>Gate 4: Analytical chemistry study focused on method development for extracting and analyzing cinnamon bark constituents (proanthocyanidins, essential oils). No health outcomes, clinical populations, or biological effects measured. Purely chemical/analytical methodology paper.</t>
  </si>
  <si>
    <t>A Descriptive Study of Pain Relief Practices Among Student-Athletes in Palestine: Focus on Non-Steroidal Anti-Inflammatory Drugs, and Complementary Medicine and Alternative Medicine Use</t>
  </si>
  <si>
    <t>Descriptive observational study of pain management practices.</t>
  </si>
  <si>
    <t xml:space="preserve"> Gate 3: Observational survey study (secondary evidence). </t>
  </si>
  <si>
    <t>Repellent, irritant and toxic effects of 20 plant extracts on adults of the malaria vector Anopheles gambiae mosquito</t>
  </si>
  <si>
    <t>Original research: in vitro experimental study on insecticidal properties.</t>
  </si>
  <si>
    <t>Cinnamon mentioned as one of 20 plant extracts tested; focus is mosquito repellent/toxicity, not human/animal health.</t>
  </si>
  <si>
    <t>Gate 4: While this is primary research on plant extracts including cinnamon, primary focus is mosquito repellent and insecticidal toxicity for disease vector control. Not focused on direct human health benefits. Cinnamon is one of 20 extracts tested; no isolated cinnamon outcomes reported.</t>
  </si>
  <si>
    <t>Enteropathogenic Potential of Bacillus thuringiensis Isolates from Soil, Animals, Food and Biopesticides</t>
  </si>
  <si>
    <t>Original research: microbiology study on bacterial pathogenicity.</t>
  </si>
  <si>
    <t>Cinnamon not mentioned; study focuses on Bacillus thuringiensis bacterial pathogenicity.</t>
  </si>
  <si>
    <t>Gate 4: Cinnamon not subject matter. Study investigates enteropathogenic potential of B. thuringiensis isolates from environmental sources; no cinnamon intervention or mention.</t>
  </si>
  <si>
    <t>Complementary alternative medicine use among a sample of Muslim Jordanian oncology patients</t>
  </si>
  <si>
    <t>Descriptive observational study of CAM utilization patterns.</t>
  </si>
  <si>
    <t>Part 1: A Novel Model for Three-Dimensional Culture of 3T3-L1 Preadipocytes Stimulates Spontaneous Cell Differentiation Independent of Chemical Induction Typically Required in Monolayer</t>
  </si>
  <si>
    <t>Original research: in vitro cell culture methodology study.</t>
  </si>
  <si>
    <t>Cinnamon not mentioned; study focuses on 3D cell culture model development.</t>
  </si>
  <si>
    <t>Gate 4: Cinnamon not subject matter. Study develops 3D culture methodology for preadipocyte differentiation; no cinnamon intervention.</t>
  </si>
  <si>
    <t>A comparative evaluation of commercially available non-herbal denture adhesives and essential oil based herbal denture adhesives on patient comfort and satisfaction- a clinical trial</t>
  </si>
  <si>
    <t>Original research: clinical trial comparing denture adhesive formulations.</t>
  </si>
  <si>
    <t>Essential oil-based herbal adhesives compared; cinnamon not specified as isolated intervention; focus is denture comfort, not cinnamon health outcome.</t>
  </si>
  <si>
    <t>Gate 4: Clinical trial focused on denture adhesive performance and patient comfort. While herbal essential oils may include cinnamon, primary outcome is denture-related comfort/satisfaction, not health benefit of cinnamon. Cinnamon effect cannot be isolated.</t>
  </si>
  <si>
    <t>Daily Fluoride Intake from Iranian Green Tea: Evaluation of Various Flavorings on Fluoride Release</t>
  </si>
  <si>
    <t>Original research: analytical chemistry study on fluoride and tea constituents.</t>
  </si>
  <si>
    <t>Cinnamon mentioned as flavoring additive; focus is fluoride content analysis, not cinnamon health outcome.</t>
  </si>
  <si>
    <t>Gate 4: Food science/analytical chemistry study. Primary focus is fluoride release from green tea with various flavorings (including cinnamon). No health outcomes related to cinnamon measured; focus is dental fluoride intake assessment.</t>
  </si>
  <si>
    <t>Original research: animal experiment investigating neuroprotective effects in Alzheimer's model.</t>
  </si>
  <si>
    <t>Cinnamomum zeylanicum aqueous extract is primary intervention; cognition is primary outcome.</t>
  </si>
  <si>
    <t>Neuroprotective outcomes relevant to Alzheimer's disease and cognitive health.</t>
  </si>
  <si>
    <t>Animal – Sprague-Dawley rat, non-transgenic Alzheimer's disease model (scopolamine-induced)</t>
  </si>
  <si>
    <t>INCLUDE. Study Design: Animal experiment (in vivo). Sample Size: [VERIFY - requires full text confirmation]. Cinnamon Species: Cinnamomum zeylanicum. Cinnamon Form &amp; Dose: Aqueous extract [dose and duration require full text confirmation]. Population: Animal – Sprague-Dawley rats, scopolamine-induced cognitive impairment model. Key Outcome Direction: Positive (cognition enhancement indicated by title). Statistical Significance: [VERIFY - requires full text]. Safety/Adverse Effects: [VERIFY - requires full text]. Multi-parameter assessment: biochemical, histological, behavioral approaches to neuroprotection.</t>
  </si>
  <si>
    <t>Unveiling the binding landscape of cinnamaldehyde with digestive proteases:An exploration of specific interactions and conformational dynamics</t>
  </si>
  <si>
    <t>Complementary and alternative medicine use amongst Palestinian diabetic patients</t>
  </si>
  <si>
    <t xml:space="preserve"> Gate 3: Observational survey (secondary evidence type).</t>
  </si>
  <si>
    <t>The neuroprotective mechanism of cinnamaldehyde against amyloid-β in neuronal SHSY5Y cell line: The role of N-methyl-D-aspartate, ryanodine, and adenosine receptors and glycogen synthase kinase-3β</t>
  </si>
  <si>
    <t>Original research: in vitro cell culture study investigating neuroprotective mechanism.</t>
  </si>
  <si>
    <t>Cinnamaldehyde (isolated cinnamon-derived compound) is primary intervention; mechanism against Alzheimer's-related amyloid-β.</t>
  </si>
  <si>
    <t>Neuroprotective mechanism relevant to Alzheimer's disease.</t>
  </si>
  <si>
    <t>Gate 6: In vitro cell culture methodology using neuronal SHSY5Y cells. While cinnamaldehyde is primary intervention and neuroprotective mechanism against amyloid-β is highly relevant to Alzheimer's research, protocol excludes in vitro/cell studies. Important mechanistic evidence supporting neuroprotection discussed in included animal studies.</t>
  </si>
  <si>
    <t>Yes</t>
  </si>
  <si>
    <t>No</t>
  </si>
  <si>
    <t>Total</t>
  </si>
  <si>
    <t>Articles Excluded Under Cell-Only Rule (purely in vitro, no animal/human in vivo component)</t>
  </si>
  <si>
    <t>Original S/N (Pre-exclusion)</t>
  </si>
  <si>
    <t>Reason for Exclusion</t>
  </si>
  <si>
    <t>Qin et al. (2014) — Cinnamon polyphenols regulate S100β, sirtuins, and neuroactive proteins in rat C6 glioma cells</t>
  </si>
  <si>
    <t>Study used solely the rat C6 glioma cell line (CCL-107) cultured in 35-mm dishes/six-well plates. Methods describe in vitro incubation with cinnamon polyphenols at 10 and 20 µg/mL for 24 h with no animal or human in vivo experiment. Excluded under the cell-only rule.</t>
  </si>
  <si>
    <t>Pagliari et al. (2023) — Antioxidant and Anti-Inflammatory Effect of Cinnamon (Cinnamomum verum J. Presl) Bark Extract after In Vitro Digestion Simulation</t>
  </si>
  <si>
    <t>Study used INFOGEST in vitro digestion simulation followed by Caco-2 human intestinal cell line and intestinal-barrier cell models. No animal or human in vivo component is reported in the methods. Excluded under the cell-only rule.</t>
  </si>
  <si>
    <t xml:space="preserve">Study used solely the rat C6 glioma cell line (CCL-107) cultured in 35-mm dishes/six-well plates. Methods describe in vitro incubation with cinnamon polyphenols at 10 and 20 µg/mL for 24 h with no animal or human in vivo experiment. </t>
  </si>
  <si>
    <t xml:space="preserve">Study used INFOGEST in vitro digestion simulation followed by Caco-2 human intestinal cell line and intestinal-barrier cell models. No animal or human in vivo component is reported in the methods. </t>
  </si>
  <si>
    <t>Gate 6: Cell study only</t>
  </si>
  <si>
    <t>Gate 3: Secondary study (systematic review)</t>
  </si>
  <si>
    <t>Though cinnamon (Cinnamomum zeylanicum Blume) is one of five equal herbal components used to create this supplement and because the researchers administered the complete 5-herb mixture to the rats and did not include a control group that received only cinnamon, it is scientifically impossible to isolate the specific impact of the cinnamon component
. The authors explicitly attribute the positive metabolic and organ-protective benefits to the synergistic effects of all five herbs working together.</t>
  </si>
  <si>
    <t>26 
(Animal and/or human)</t>
  </si>
  <si>
    <t>Insect cell study</t>
  </si>
  <si>
    <t>Gate 6: Cell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</si>
</sst>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Body)"/>
    </font>
    <font>
      <sz val="11"/>
      <color rgb="FF212121"/>
      <name val="Aptos (Body)"/>
    </font>
    <font>
      <b/>
      <sz val="11"/>
      <color theme="1"/>
      <name val="Aptos (Body)"/>
    </font>
    <font>
      <u/>
      <sz val="11"/>
      <color theme="10"/>
      <name val="Aptos Narrow"/>
      <family val="2"/>
      <scheme val="minor"/>
    </font>
    <font>
      <b/>
      <sz val="11"/>
      <color rgb="FF9C0006"/>
      <name val="Aptos Narrow"/>
    </font>
    <font>
      <sz val="11"/>
      <color theme="6" tint="-0.249977111117893"/>
      <name val="Aptos (Body)"/>
    </font>
    <font>
      <b/>
      <sz val="11"/>
      <color theme="6" tint="-0.249977111117893"/>
      <name val="Aptos Narrow"/>
      <family val="2"/>
    </font>
    <font>
      <sz val="11"/>
      <color rgb="FF990033"/>
      <name val="Aptos (Body)"/>
    </font>
    <font>
      <b/>
      <sz val="11"/>
      <color rgb="FF990033"/>
      <name val="Aptos Narrow"/>
      <family val="2"/>
    </font>
    <font>
      <sz val="11"/>
      <color theme="9" tint="-0.499984740745262"/>
      <name val="Aptos (Body)"/>
    </font>
    <font>
      <sz val="11"/>
      <color rgb="FF990033"/>
      <name val="Aptos Narrow"/>
      <family val="2"/>
      <scheme val="minor"/>
    </font>
    <font>
      <b/>
      <sz val="10"/>
      <color theme="0"/>
      <name val="Aptos Narrow"/>
      <family val="2"/>
      <scheme val="minor"/>
    </font>
    <font>
      <sz val="10"/>
      <color theme="1"/>
      <name val="Aptos Narrow"/>
      <family val="2"/>
      <scheme val="minor"/>
    </font>
    <font>
      <sz val="10"/>
      <name val="Aptos Narrow"/>
      <family val="2"/>
      <scheme val="minor"/>
    </font>
    <font>
      <b/>
      <sz val="10"/>
      <color rgb="FF00B050"/>
      <name val="Aptos Narrow"/>
      <family val="2"/>
      <scheme val="minor"/>
    </font>
    <font>
      <b/>
      <sz val="14"/>
      <name val="Aptos Narrow"/>
    </font>
    <font>
      <b/>
      <sz val="12"/>
      <name val="Aptos Narrow"/>
    </font>
    <font>
      <sz val="11"/>
      <name val="Aptos Narrow"/>
    </font>
    <font>
      <sz val="11"/>
      <color rgb="FFFF0000"/>
      <name val="Aptos (Body)"/>
    </font>
  </fonts>
  <fills count="8">
    <fill>
      <patternFill patternType="none"/>
    </fill>
    <fill>
      <patternFill patternType="gray125"/>
    </fill>
    <fill>
      <patternFill patternType="solid">
        <fgColor theme="2"/>
        <bgColor indexed="64"/>
      </patternFill>
    </fill>
    <fill>
      <patternFill patternType="solid">
        <fgColor rgb="FFFFC7CE"/>
      </patternFill>
    </fill>
    <fill>
      <patternFill patternType="solid">
        <fgColor theme="6" tint="0.79998168889431442"/>
        <bgColor indexed="64"/>
      </patternFill>
    </fill>
    <fill>
      <patternFill patternType="solid">
        <fgColor rgb="FFFFCCCC"/>
        <bgColor indexed="64"/>
      </patternFill>
    </fill>
    <fill>
      <patternFill patternType="solid">
        <fgColor rgb="FFFFFF00"/>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54">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vertical="center"/>
    </xf>
    <xf numFmtId="0" fontId="1" fillId="4" borderId="1" xfId="0" applyFont="1" applyFill="1" applyBorder="1" applyAlignment="1">
      <alignment vertical="center" wrapText="1"/>
    </xf>
    <xf numFmtId="0" fontId="6" fillId="4" borderId="1" xfId="0" applyFont="1" applyFill="1" applyBorder="1" applyAlignment="1">
      <alignment vertical="center" wrapText="1"/>
    </xf>
    <xf numFmtId="0" fontId="7" fillId="4" borderId="1" xfId="0" applyFont="1" applyFill="1" applyBorder="1" applyAlignment="1">
      <alignment vertical="center" wrapText="1"/>
    </xf>
    <xf numFmtId="0" fontId="8" fillId="5" borderId="1" xfId="0" applyFont="1" applyFill="1" applyBorder="1" applyAlignment="1">
      <alignment vertical="center" wrapText="1"/>
    </xf>
    <xf numFmtId="0" fontId="9" fillId="5" borderId="1" xfId="0" applyFont="1" applyFill="1" applyBorder="1" applyAlignment="1">
      <alignment vertical="center"/>
    </xf>
    <xf numFmtId="0" fontId="10" fillId="4" borderId="1" xfId="0" applyFont="1" applyFill="1" applyBorder="1" applyAlignment="1">
      <alignment vertical="center" wrapText="1"/>
    </xf>
    <xf numFmtId="0" fontId="1" fillId="6" borderId="1" xfId="0" applyFont="1" applyFill="1" applyBorder="1" applyAlignment="1">
      <alignment vertical="center" wrapText="1"/>
    </xf>
    <xf numFmtId="0" fontId="1" fillId="0" borderId="2" xfId="0" applyFont="1" applyBorder="1" applyAlignment="1">
      <alignment wrapText="1"/>
    </xf>
    <xf numFmtId="0" fontId="1" fillId="6" borderId="1" xfId="0" applyFont="1" applyFill="1" applyBorder="1" applyAlignment="1">
      <alignment horizontal="center" vertical="center"/>
    </xf>
    <xf numFmtId="0" fontId="3" fillId="6" borderId="1" xfId="0" applyFont="1" applyFill="1" applyBorder="1"/>
    <xf numFmtId="0" fontId="3" fillId="6" borderId="1" xfId="0" applyFont="1" applyFill="1" applyBorder="1" applyAlignment="1">
      <alignment wrapText="1"/>
    </xf>
    <xf numFmtId="0" fontId="3" fillId="2" borderId="1" xfId="0" applyFont="1" applyFill="1" applyBorder="1" applyAlignment="1">
      <alignment horizontal="center" vertical="center"/>
    </xf>
    <xf numFmtId="0" fontId="3" fillId="2" borderId="1" xfId="0" applyFont="1" applyFill="1" applyBorder="1" applyAlignment="1">
      <alignment vertical="center" wrapText="1"/>
    </xf>
    <xf numFmtId="0" fontId="3" fillId="2" borderId="1" xfId="0" applyFont="1" applyFill="1" applyBorder="1"/>
    <xf numFmtId="0" fontId="3" fillId="2" borderId="1" xfId="0" applyFont="1" applyFill="1" applyBorder="1" applyAlignment="1">
      <alignment wrapText="1"/>
    </xf>
    <xf numFmtId="0" fontId="5" fillId="3" borderId="1" xfId="0" applyFont="1" applyFill="1" applyBorder="1" applyAlignment="1">
      <alignment vertical="center"/>
    </xf>
    <xf numFmtId="0" fontId="9" fillId="5" borderId="1" xfId="0" applyFont="1" applyFill="1" applyBorder="1" applyAlignment="1">
      <alignment vertical="center" wrapText="1"/>
    </xf>
    <xf numFmtId="0" fontId="10" fillId="4" borderId="1" xfId="1" applyFont="1" applyFill="1" applyBorder="1" applyAlignment="1">
      <alignment vertical="center" wrapText="1"/>
    </xf>
    <xf numFmtId="0" fontId="11" fillId="5" borderId="1" xfId="1" applyFont="1" applyFill="1" applyBorder="1" applyAlignment="1">
      <alignment vertical="center" wrapText="1"/>
    </xf>
    <xf numFmtId="0" fontId="8" fillId="5" borderId="1" xfId="1" applyFont="1" applyFill="1" applyBorder="1" applyAlignment="1">
      <alignment vertical="center" wrapText="1"/>
    </xf>
    <xf numFmtId="0" fontId="7" fillId="4" borderId="1" xfId="0" applyFont="1" applyFill="1" applyBorder="1" applyAlignment="1">
      <alignment vertical="center"/>
    </xf>
    <xf numFmtId="0" fontId="10" fillId="0" borderId="1" xfId="0" applyFont="1" applyBorder="1" applyAlignment="1">
      <alignment vertical="center" wrapText="1"/>
    </xf>
    <xf numFmtId="0" fontId="3" fillId="0" borderId="1" xfId="0" applyFont="1" applyBorder="1"/>
    <xf numFmtId="0" fontId="3" fillId="0" borderId="1" xfId="0" applyFont="1" applyBorder="1" applyAlignment="1">
      <alignment wrapText="1"/>
    </xf>
    <xf numFmtId="0" fontId="1" fillId="0" borderId="1" xfId="0" applyFont="1" applyBorder="1" applyAlignment="1">
      <alignment wrapText="1"/>
    </xf>
    <xf numFmtId="0" fontId="12" fillId="7" borderId="1" xfId="0" applyFont="1" applyFill="1" applyBorder="1" applyAlignment="1">
      <alignment horizontal="center" vertical="top" wrapText="1"/>
    </xf>
    <xf numFmtId="0" fontId="12" fillId="7" borderId="1" xfId="0" applyFont="1" applyFill="1" applyBorder="1" applyAlignment="1">
      <alignment horizontal="left" vertical="center" wrapText="1"/>
    </xf>
    <xf numFmtId="0" fontId="13" fillId="0" borderId="0" xfId="0" applyFont="1" applyAlignment="1">
      <alignment vertical="center" wrapText="1"/>
    </xf>
    <xf numFmtId="0" fontId="13" fillId="0" borderId="1" xfId="0" applyFont="1" applyBorder="1" applyAlignment="1">
      <alignment horizontal="center"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center" vertical="top" wrapText="1"/>
    </xf>
    <xf numFmtId="0" fontId="13" fillId="0" borderId="0" xfId="0" applyFont="1" applyAlignment="1">
      <alignment horizontal="left" vertical="center" wrapText="1"/>
    </xf>
    <xf numFmtId="0" fontId="17" fillId="0" borderId="0" xfId="0" applyFont="1"/>
    <xf numFmtId="0" fontId="18" fillId="0" borderId="0" xfId="0" applyFont="1" applyAlignment="1">
      <alignment vertical="top" wrapText="1"/>
    </xf>
    <xf numFmtId="0" fontId="16" fillId="0" borderId="0" xfId="0" applyFont="1"/>
    <xf numFmtId="0" fontId="0" fillId="0" borderId="0" xfId="0"/>
    <xf numFmtId="0" fontId="1" fillId="0" borderId="1" xfId="0" applyFont="1" applyFill="1" applyBorder="1" applyAlignment="1">
      <alignment vertical="center" wrapText="1"/>
    </xf>
    <xf numFmtId="0" fontId="19" fillId="5" borderId="1" xfId="0" applyFont="1" applyFill="1" applyBorder="1" applyAlignment="1">
      <alignment vertical="center" wrapText="1"/>
    </xf>
    <xf numFmtId="0" fontId="1" fillId="4" borderId="0" xfId="0" applyFont="1" applyFill="1" applyAlignment="1">
      <alignment horizontal="right" wrapText="1"/>
    </xf>
    <xf numFmtId="0" fontId="1" fillId="5" borderId="0" xfId="0" applyFont="1" applyFill="1" applyAlignment="1">
      <alignment horizontal="right" wrapText="1"/>
    </xf>
  </cellXfs>
  <cellStyles count="2">
    <cellStyle name="Hyperlink" xfId="1" builtinId="8"/>
    <cellStyle name="Normal" xfId="0" builtinId="0"/>
  </cellStyles>
  <dxfs count="1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CCCC"/>
      <color rgb="FF990033"/>
      <color rgb="FFCC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ubmed.ncbi.nlm.nih.gov/?term=cinnamon%20AND%20health%20AND%20benefi*&amp;filter=dates.1000%2F1%2F1-2025%2F12%2F31&amp;size=200&amp;page=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9"/>
  <sheetViews>
    <sheetView tabSelected="1" topLeftCell="G1" zoomScale="70" zoomScaleNormal="70" workbookViewId="0">
      <pane ySplit="2" topLeftCell="A198" activePane="bottomLeft" state="frozen"/>
      <selection pane="bottomLeft" activeCell="C3" sqref="C3:C203"/>
    </sheetView>
  </sheetViews>
  <sheetFormatPr defaultRowHeight="14"/>
  <cols>
    <col min="1" max="1" width="5.36328125" style="3" customWidth="1"/>
    <col min="2" max="2" width="16.08984375" style="3" customWidth="1"/>
    <col min="3" max="3" width="45.81640625" style="9" customWidth="1"/>
    <col min="4" max="4" width="17.7265625" style="1" customWidth="1"/>
    <col min="5" max="5" width="16.1796875" style="1" customWidth="1"/>
    <col min="6" max="6" width="22.26953125" style="2" customWidth="1"/>
    <col min="7" max="7" width="22.453125" style="1" customWidth="1"/>
    <col min="8" max="8" width="22.453125" style="2" customWidth="1"/>
    <col min="9" max="9" width="30.54296875" style="2" customWidth="1"/>
    <col min="10" max="13" width="22.453125" style="2" customWidth="1"/>
    <col min="14" max="14" width="24.453125" style="2" customWidth="1"/>
    <col min="15" max="15" width="36.6328125" style="9" customWidth="1"/>
    <col min="16" max="16" width="27" style="2" hidden="1" customWidth="1"/>
    <col min="17" max="18" width="8.7265625" style="1" customWidth="1"/>
    <col min="19" max="16384" width="8.7265625" style="1"/>
  </cols>
  <sheetData>
    <row r="1" spans="1:16">
      <c r="A1" s="19"/>
      <c r="B1" s="19"/>
      <c r="C1" s="17"/>
      <c r="D1" s="20" t="s">
        <v>420</v>
      </c>
      <c r="E1" s="20" t="s">
        <v>421</v>
      </c>
      <c r="F1" s="20" t="s">
        <v>422</v>
      </c>
      <c r="G1" s="33"/>
      <c r="H1" s="20" t="s">
        <v>423</v>
      </c>
      <c r="I1" s="34"/>
      <c r="J1" s="21" t="s">
        <v>424</v>
      </c>
      <c r="K1" s="34"/>
      <c r="L1" s="21" t="s">
        <v>425</v>
      </c>
      <c r="M1" s="35"/>
      <c r="N1" s="35"/>
      <c r="O1" s="8"/>
    </row>
    <row r="2" spans="1:16" ht="28" customHeight="1">
      <c r="A2" s="22" t="s">
        <v>0</v>
      </c>
      <c r="B2" s="22" t="s">
        <v>426</v>
      </c>
      <c r="C2" s="23" t="s">
        <v>427</v>
      </c>
      <c r="D2" s="24" t="s">
        <v>428</v>
      </c>
      <c r="E2" s="24" t="s">
        <v>429</v>
      </c>
      <c r="F2" s="25" t="s">
        <v>430</v>
      </c>
      <c r="G2" s="24" t="s">
        <v>431</v>
      </c>
      <c r="H2" s="25" t="s">
        <v>432</v>
      </c>
      <c r="I2" s="25" t="s">
        <v>433</v>
      </c>
      <c r="J2" s="25" t="s">
        <v>434</v>
      </c>
      <c r="K2" s="25" t="s">
        <v>435</v>
      </c>
      <c r="L2" s="25" t="s">
        <v>436</v>
      </c>
      <c r="M2" s="25" t="s">
        <v>437</v>
      </c>
      <c r="N2" s="25" t="s">
        <v>438</v>
      </c>
      <c r="O2" s="23" t="s">
        <v>439</v>
      </c>
    </row>
    <row r="3" spans="1:16" ht="70" customHeight="1">
      <c r="A3" s="5">
        <v>1</v>
      </c>
      <c r="B3" s="4">
        <v>20924865</v>
      </c>
      <c r="C3" s="50" t="s">
        <v>440</v>
      </c>
      <c r="D3" s="10" t="s">
        <v>441</v>
      </c>
      <c r="E3" s="10" t="s">
        <v>441</v>
      </c>
      <c r="F3" s="14" t="s">
        <v>442</v>
      </c>
      <c r="G3" s="14" t="s">
        <v>443</v>
      </c>
      <c r="H3" s="14" t="s">
        <v>444</v>
      </c>
      <c r="I3" s="8" t="s">
        <v>444</v>
      </c>
      <c r="J3" s="8" t="s">
        <v>444</v>
      </c>
      <c r="K3" s="8" t="s">
        <v>444</v>
      </c>
      <c r="L3" s="8" t="s">
        <v>444</v>
      </c>
      <c r="M3" s="8" t="s">
        <v>444</v>
      </c>
      <c r="N3" s="26" t="s">
        <v>445</v>
      </c>
      <c r="O3" s="14" t="s">
        <v>446</v>
      </c>
      <c r="P3" s="18"/>
    </row>
    <row r="4" spans="1:16" ht="28" customHeight="1">
      <c r="A4" s="5">
        <v>2</v>
      </c>
      <c r="B4" s="4">
        <v>34970669</v>
      </c>
      <c r="C4" s="50" t="s">
        <v>447</v>
      </c>
      <c r="D4" s="10" t="s">
        <v>448</v>
      </c>
      <c r="E4" s="8" t="s">
        <v>448</v>
      </c>
      <c r="F4" s="14" t="s">
        <v>444</v>
      </c>
      <c r="G4" s="14" t="s">
        <v>444</v>
      </c>
      <c r="H4" s="14" t="s">
        <v>444</v>
      </c>
      <c r="I4" s="14" t="s">
        <v>444</v>
      </c>
      <c r="J4" s="14" t="s">
        <v>444</v>
      </c>
      <c r="K4" s="14" t="s">
        <v>444</v>
      </c>
      <c r="L4" s="14" t="s">
        <v>444</v>
      </c>
      <c r="M4" s="14" t="s">
        <v>444</v>
      </c>
      <c r="N4" s="26" t="s">
        <v>445</v>
      </c>
      <c r="O4" s="14" t="s">
        <v>449</v>
      </c>
      <c r="P4" s="18"/>
    </row>
    <row r="5" spans="1:16" ht="70" customHeight="1">
      <c r="A5" s="5">
        <v>3</v>
      </c>
      <c r="B5" s="4">
        <v>30651162</v>
      </c>
      <c r="C5" s="50" t="s">
        <v>450</v>
      </c>
      <c r="D5" s="10" t="s">
        <v>441</v>
      </c>
      <c r="E5" s="10" t="s">
        <v>441</v>
      </c>
      <c r="F5" s="14" t="s">
        <v>442</v>
      </c>
      <c r="G5" s="14" t="s">
        <v>451</v>
      </c>
      <c r="H5" s="14" t="s">
        <v>444</v>
      </c>
      <c r="I5" s="8" t="s">
        <v>444</v>
      </c>
      <c r="J5" s="8" t="s">
        <v>444</v>
      </c>
      <c r="K5" s="8" t="s">
        <v>444</v>
      </c>
      <c r="L5" s="8" t="s">
        <v>444</v>
      </c>
      <c r="M5" s="8" t="s">
        <v>444</v>
      </c>
      <c r="N5" s="15" t="s">
        <v>445</v>
      </c>
      <c r="O5" s="14" t="s">
        <v>452</v>
      </c>
      <c r="P5" s="18"/>
    </row>
    <row r="6" spans="1:16" ht="42" customHeight="1">
      <c r="A6" s="5">
        <v>4</v>
      </c>
      <c r="B6" s="4">
        <v>38435393</v>
      </c>
      <c r="C6" s="50" t="s">
        <v>453</v>
      </c>
      <c r="D6" s="10" t="s">
        <v>441</v>
      </c>
      <c r="E6" s="8" t="s">
        <v>441</v>
      </c>
      <c r="F6" s="14" t="s">
        <v>442</v>
      </c>
      <c r="G6" s="14" t="s">
        <v>454</v>
      </c>
      <c r="H6" s="14" t="s">
        <v>444</v>
      </c>
      <c r="I6" s="8" t="s">
        <v>444</v>
      </c>
      <c r="J6" s="8" t="s">
        <v>444</v>
      </c>
      <c r="K6" s="8" t="s">
        <v>444</v>
      </c>
      <c r="L6" s="8" t="s">
        <v>444</v>
      </c>
      <c r="M6" s="8" t="s">
        <v>444</v>
      </c>
      <c r="N6" s="15" t="s">
        <v>445</v>
      </c>
      <c r="O6" s="14" t="s">
        <v>455</v>
      </c>
      <c r="P6" s="18"/>
    </row>
    <row r="7" spans="1:16" ht="56" customHeight="1">
      <c r="A7" s="5">
        <v>5</v>
      </c>
      <c r="B7" s="4">
        <v>38068725</v>
      </c>
      <c r="C7" s="50" t="s">
        <v>456</v>
      </c>
      <c r="D7" s="10" t="s">
        <v>441</v>
      </c>
      <c r="E7" s="10" t="s">
        <v>441</v>
      </c>
      <c r="F7" s="14" t="s">
        <v>442</v>
      </c>
      <c r="G7" s="14" t="s">
        <v>457</v>
      </c>
      <c r="H7" s="14" t="s">
        <v>444</v>
      </c>
      <c r="I7" s="8" t="s">
        <v>444</v>
      </c>
      <c r="J7" s="8" t="s">
        <v>444</v>
      </c>
      <c r="K7" s="8" t="s">
        <v>444</v>
      </c>
      <c r="L7" s="8" t="s">
        <v>444</v>
      </c>
      <c r="M7" s="8" t="s">
        <v>444</v>
      </c>
      <c r="N7" s="15" t="s">
        <v>445</v>
      </c>
      <c r="O7" s="14" t="s">
        <v>458</v>
      </c>
      <c r="P7" s="18"/>
    </row>
    <row r="8" spans="1:16" ht="56" customHeight="1">
      <c r="A8" s="5">
        <v>6</v>
      </c>
      <c r="B8" s="4">
        <v>27000311</v>
      </c>
      <c r="C8" s="50" t="s">
        <v>459</v>
      </c>
      <c r="D8" s="10" t="s">
        <v>441</v>
      </c>
      <c r="E8" s="10" t="s">
        <v>441</v>
      </c>
      <c r="F8" s="14" t="s">
        <v>442</v>
      </c>
      <c r="G8" s="14" t="s">
        <v>460</v>
      </c>
      <c r="H8" s="14" t="s">
        <v>444</v>
      </c>
      <c r="I8" s="8" t="s">
        <v>444</v>
      </c>
      <c r="J8" s="8" t="s">
        <v>444</v>
      </c>
      <c r="K8" s="8" t="s">
        <v>444</v>
      </c>
      <c r="L8" s="8" t="s">
        <v>444</v>
      </c>
      <c r="M8" s="8" t="s">
        <v>444</v>
      </c>
      <c r="N8" s="15" t="s">
        <v>445</v>
      </c>
      <c r="O8" s="14" t="s">
        <v>461</v>
      </c>
      <c r="P8" s="18"/>
    </row>
    <row r="9" spans="1:16" ht="28" customHeight="1">
      <c r="A9" s="5">
        <v>7</v>
      </c>
      <c r="B9" s="4">
        <v>24148965</v>
      </c>
      <c r="C9" s="50" t="s">
        <v>462</v>
      </c>
      <c r="D9" s="10" t="s">
        <v>441</v>
      </c>
      <c r="E9" s="10" t="s">
        <v>441</v>
      </c>
      <c r="F9" s="14" t="s">
        <v>442</v>
      </c>
      <c r="G9" s="14" t="s">
        <v>463</v>
      </c>
      <c r="H9" s="14" t="s">
        <v>444</v>
      </c>
      <c r="I9" s="8" t="s">
        <v>444</v>
      </c>
      <c r="J9" s="8" t="s">
        <v>444</v>
      </c>
      <c r="K9" s="8" t="s">
        <v>444</v>
      </c>
      <c r="L9" s="8" t="s">
        <v>444</v>
      </c>
      <c r="M9" s="8" t="s">
        <v>444</v>
      </c>
      <c r="N9" s="15" t="s">
        <v>445</v>
      </c>
      <c r="O9" s="14" t="s">
        <v>455</v>
      </c>
      <c r="P9" s="18"/>
    </row>
    <row r="10" spans="1:16" ht="28" customHeight="1">
      <c r="A10" s="5">
        <v>8</v>
      </c>
      <c r="B10" s="4">
        <v>34359154</v>
      </c>
      <c r="C10" s="50" t="s">
        <v>464</v>
      </c>
      <c r="D10" s="10" t="s">
        <v>441</v>
      </c>
      <c r="E10" s="10" t="s">
        <v>441</v>
      </c>
      <c r="F10" s="14" t="s">
        <v>442</v>
      </c>
      <c r="G10" s="14" t="s">
        <v>465</v>
      </c>
      <c r="H10" s="14" t="s">
        <v>444</v>
      </c>
      <c r="I10" s="8" t="s">
        <v>444</v>
      </c>
      <c r="J10" s="8" t="s">
        <v>444</v>
      </c>
      <c r="K10" s="8" t="s">
        <v>444</v>
      </c>
      <c r="L10" s="8" t="s">
        <v>444</v>
      </c>
      <c r="M10" s="8" t="s">
        <v>444</v>
      </c>
      <c r="N10" s="15" t="s">
        <v>445</v>
      </c>
      <c r="O10" s="14" t="s">
        <v>452</v>
      </c>
      <c r="P10" s="18"/>
    </row>
    <row r="11" spans="1:16" ht="70" customHeight="1">
      <c r="A11" s="5">
        <v>9</v>
      </c>
      <c r="B11" s="4">
        <v>27771918</v>
      </c>
      <c r="C11" s="50" t="s">
        <v>466</v>
      </c>
      <c r="D11" s="10" t="s">
        <v>441</v>
      </c>
      <c r="E11" s="10" t="s">
        <v>441</v>
      </c>
      <c r="F11" s="14" t="s">
        <v>442</v>
      </c>
      <c r="G11" s="14" t="s">
        <v>467</v>
      </c>
      <c r="H11" s="14" t="s">
        <v>444</v>
      </c>
      <c r="I11" s="8" t="s">
        <v>444</v>
      </c>
      <c r="J11" s="8" t="s">
        <v>444</v>
      </c>
      <c r="K11" s="8" t="s">
        <v>444</v>
      </c>
      <c r="L11" s="8" t="s">
        <v>444</v>
      </c>
      <c r="M11" s="8" t="s">
        <v>444</v>
      </c>
      <c r="N11" s="15" t="s">
        <v>445</v>
      </c>
      <c r="O11" s="14" t="s">
        <v>468</v>
      </c>
      <c r="P11" s="18"/>
    </row>
    <row r="12" spans="1:16" ht="42" customHeight="1">
      <c r="A12" s="5">
        <v>10</v>
      </c>
      <c r="B12" s="4">
        <v>32229652</v>
      </c>
      <c r="C12" s="50" t="s">
        <v>469</v>
      </c>
      <c r="D12" s="10" t="s">
        <v>441</v>
      </c>
      <c r="E12" s="10" t="s">
        <v>441</v>
      </c>
      <c r="F12" s="14" t="s">
        <v>442</v>
      </c>
      <c r="G12" s="14" t="s">
        <v>470</v>
      </c>
      <c r="H12" s="14" t="s">
        <v>444</v>
      </c>
      <c r="I12" s="8" t="s">
        <v>444</v>
      </c>
      <c r="J12" s="8" t="s">
        <v>444</v>
      </c>
      <c r="K12" s="8" t="s">
        <v>444</v>
      </c>
      <c r="L12" s="8" t="s">
        <v>444</v>
      </c>
      <c r="M12" s="8" t="s">
        <v>444</v>
      </c>
      <c r="N12" s="15" t="s">
        <v>445</v>
      </c>
      <c r="O12" s="14" t="s">
        <v>471</v>
      </c>
      <c r="P12" s="18"/>
    </row>
    <row r="13" spans="1:16" ht="28" customHeight="1">
      <c r="A13" s="5">
        <v>11</v>
      </c>
      <c r="B13" s="4">
        <v>36300165</v>
      </c>
      <c r="C13" s="50" t="s">
        <v>472</v>
      </c>
      <c r="D13" s="10" t="s">
        <v>448</v>
      </c>
      <c r="E13" s="10" t="s">
        <v>448</v>
      </c>
      <c r="F13" s="14" t="s">
        <v>444</v>
      </c>
      <c r="G13" s="14" t="s">
        <v>444</v>
      </c>
      <c r="H13" s="14" t="s">
        <v>444</v>
      </c>
      <c r="I13" s="14" t="s">
        <v>444</v>
      </c>
      <c r="J13" s="14" t="s">
        <v>444</v>
      </c>
      <c r="K13" s="14" t="s">
        <v>444</v>
      </c>
      <c r="L13" s="14" t="s">
        <v>444</v>
      </c>
      <c r="M13" s="14" t="s">
        <v>444</v>
      </c>
      <c r="N13" s="26" t="s">
        <v>445</v>
      </c>
      <c r="O13" s="14" t="s">
        <v>449</v>
      </c>
      <c r="P13" s="18"/>
    </row>
    <row r="14" spans="1:16" ht="42" customHeight="1">
      <c r="A14" s="5">
        <v>12</v>
      </c>
      <c r="B14" s="4">
        <v>38917435</v>
      </c>
      <c r="C14" s="50" t="s">
        <v>473</v>
      </c>
      <c r="D14" s="10" t="s">
        <v>448</v>
      </c>
      <c r="E14" s="10" t="s">
        <v>448</v>
      </c>
      <c r="F14" s="14" t="s">
        <v>444</v>
      </c>
      <c r="G14" s="14" t="s">
        <v>444</v>
      </c>
      <c r="H14" s="14" t="s">
        <v>444</v>
      </c>
      <c r="I14" s="14" t="s">
        <v>444</v>
      </c>
      <c r="J14" s="14" t="s">
        <v>444</v>
      </c>
      <c r="K14" s="14" t="s">
        <v>444</v>
      </c>
      <c r="L14" s="14" t="s">
        <v>444</v>
      </c>
      <c r="M14" s="14" t="s">
        <v>444</v>
      </c>
      <c r="N14" s="26" t="s">
        <v>445</v>
      </c>
      <c r="O14" s="14" t="s">
        <v>449</v>
      </c>
      <c r="P14" s="18"/>
    </row>
    <row r="15" spans="1:16" ht="28" customHeight="1">
      <c r="A15" s="5">
        <v>13</v>
      </c>
      <c r="B15" s="4">
        <v>39760475</v>
      </c>
      <c r="C15" s="50" t="s">
        <v>474</v>
      </c>
      <c r="D15" s="10" t="s">
        <v>448</v>
      </c>
      <c r="E15" s="10" t="s">
        <v>448</v>
      </c>
      <c r="F15" s="14" t="s">
        <v>444</v>
      </c>
      <c r="G15" s="14" t="s">
        <v>444</v>
      </c>
      <c r="H15" s="14" t="s">
        <v>444</v>
      </c>
      <c r="I15" s="14" t="s">
        <v>444</v>
      </c>
      <c r="J15" s="14" t="s">
        <v>444</v>
      </c>
      <c r="K15" s="14" t="s">
        <v>444</v>
      </c>
      <c r="L15" s="14" t="s">
        <v>444</v>
      </c>
      <c r="M15" s="14" t="s">
        <v>444</v>
      </c>
      <c r="N15" s="26" t="s">
        <v>445</v>
      </c>
      <c r="O15" s="14" t="s">
        <v>449</v>
      </c>
      <c r="P15" s="18"/>
    </row>
    <row r="16" spans="1:16" ht="28" customHeight="1">
      <c r="A16" s="5">
        <v>14</v>
      </c>
      <c r="B16" s="4">
        <v>36140874</v>
      </c>
      <c r="C16" s="50" t="s">
        <v>475</v>
      </c>
      <c r="D16" s="10" t="s">
        <v>441</v>
      </c>
      <c r="E16" s="10" t="s">
        <v>441</v>
      </c>
      <c r="F16" s="14" t="s">
        <v>442</v>
      </c>
      <c r="G16" s="14" t="s">
        <v>476</v>
      </c>
      <c r="H16" s="14" t="s">
        <v>444</v>
      </c>
      <c r="I16" s="8" t="s">
        <v>444</v>
      </c>
      <c r="J16" s="8" t="s">
        <v>444</v>
      </c>
      <c r="K16" s="8" t="s">
        <v>444</v>
      </c>
      <c r="L16" s="8" t="s">
        <v>444</v>
      </c>
      <c r="M16" s="8" t="s">
        <v>444</v>
      </c>
      <c r="N16" s="27" t="s">
        <v>445</v>
      </c>
      <c r="O16" s="14" t="s">
        <v>468</v>
      </c>
      <c r="P16" s="18"/>
    </row>
    <row r="17" spans="1:16" ht="14.5" customHeight="1">
      <c r="A17" s="5">
        <v>15</v>
      </c>
      <c r="B17" s="4">
        <v>24111621</v>
      </c>
      <c r="C17" s="50" t="s">
        <v>477</v>
      </c>
      <c r="D17" s="10" t="s">
        <v>448</v>
      </c>
      <c r="E17" s="10" t="s">
        <v>448</v>
      </c>
      <c r="F17" s="14" t="s">
        <v>444</v>
      </c>
      <c r="G17" s="14" t="s">
        <v>444</v>
      </c>
      <c r="H17" s="14" t="s">
        <v>444</v>
      </c>
      <c r="I17" s="14" t="s">
        <v>444</v>
      </c>
      <c r="J17" s="14" t="s">
        <v>444</v>
      </c>
      <c r="K17" s="14" t="s">
        <v>444</v>
      </c>
      <c r="L17" s="14" t="s">
        <v>444</v>
      </c>
      <c r="M17" s="14" t="s">
        <v>444</v>
      </c>
      <c r="N17" s="26" t="s">
        <v>445</v>
      </c>
      <c r="O17" s="14" t="s">
        <v>449</v>
      </c>
      <c r="P17" s="18"/>
    </row>
    <row r="18" spans="1:16" ht="28" customHeight="1">
      <c r="A18" s="5">
        <v>16</v>
      </c>
      <c r="B18" s="4">
        <v>37221812</v>
      </c>
      <c r="C18" s="50" t="s">
        <v>96</v>
      </c>
      <c r="D18" s="10" t="s">
        <v>441</v>
      </c>
      <c r="E18" s="10" t="s">
        <v>441</v>
      </c>
      <c r="F18" s="8" t="s">
        <v>478</v>
      </c>
      <c r="G18" s="16" t="s">
        <v>479</v>
      </c>
      <c r="H18" s="8" t="s">
        <v>441</v>
      </c>
      <c r="I18" s="12" t="s">
        <v>480</v>
      </c>
      <c r="J18" s="12" t="s">
        <v>441</v>
      </c>
      <c r="K18" s="12" t="s">
        <v>481</v>
      </c>
      <c r="L18" s="12" t="s">
        <v>482</v>
      </c>
      <c r="M18" s="12" t="s">
        <v>483</v>
      </c>
      <c r="N18" s="13" t="s">
        <v>484</v>
      </c>
      <c r="O18" s="16" t="s">
        <v>485</v>
      </c>
      <c r="P18" s="18"/>
    </row>
    <row r="19" spans="1:16" ht="42" customHeight="1">
      <c r="A19" s="5">
        <v>17</v>
      </c>
      <c r="B19" s="4">
        <v>25747463</v>
      </c>
      <c r="C19" s="50" t="s">
        <v>486</v>
      </c>
      <c r="D19" s="10" t="s">
        <v>441</v>
      </c>
      <c r="E19" s="10" t="s">
        <v>441</v>
      </c>
      <c r="F19" s="14" t="s">
        <v>442</v>
      </c>
      <c r="G19" s="14" t="s">
        <v>487</v>
      </c>
      <c r="H19" s="14" t="s">
        <v>444</v>
      </c>
      <c r="I19" s="8" t="s">
        <v>444</v>
      </c>
      <c r="J19" s="8" t="s">
        <v>444</v>
      </c>
      <c r="K19" s="8" t="s">
        <v>444</v>
      </c>
      <c r="L19" s="8" t="s">
        <v>444</v>
      </c>
      <c r="M19" s="8" t="s">
        <v>444</v>
      </c>
      <c r="N19" s="15" t="s">
        <v>445</v>
      </c>
      <c r="O19" s="14" t="s">
        <v>468</v>
      </c>
      <c r="P19" s="18"/>
    </row>
    <row r="20" spans="1:16" ht="42" customHeight="1">
      <c r="A20" s="5">
        <v>18</v>
      </c>
      <c r="B20" s="4">
        <v>38089418</v>
      </c>
      <c r="C20" s="50" t="s">
        <v>488</v>
      </c>
      <c r="D20" s="10" t="s">
        <v>448</v>
      </c>
      <c r="E20" s="10" t="s">
        <v>448</v>
      </c>
      <c r="F20" s="14" t="s">
        <v>444</v>
      </c>
      <c r="G20" s="14" t="s">
        <v>444</v>
      </c>
      <c r="H20" s="14" t="s">
        <v>444</v>
      </c>
      <c r="I20" s="14" t="s">
        <v>444</v>
      </c>
      <c r="J20" s="14" t="s">
        <v>444</v>
      </c>
      <c r="K20" s="14" t="s">
        <v>444</v>
      </c>
      <c r="L20" s="14" t="s">
        <v>444</v>
      </c>
      <c r="M20" s="14" t="s">
        <v>444</v>
      </c>
      <c r="N20" s="15" t="s">
        <v>445</v>
      </c>
      <c r="O20" s="14" t="s">
        <v>449</v>
      </c>
      <c r="P20" s="18"/>
    </row>
    <row r="21" spans="1:16" ht="28" customHeight="1">
      <c r="A21" s="5">
        <v>19</v>
      </c>
      <c r="B21" s="4">
        <v>37323050</v>
      </c>
      <c r="C21" s="50" t="s">
        <v>489</v>
      </c>
      <c r="D21" s="10" t="s">
        <v>448</v>
      </c>
      <c r="E21" s="10" t="s">
        <v>448</v>
      </c>
      <c r="F21" s="14" t="s">
        <v>444</v>
      </c>
      <c r="G21" s="14" t="s">
        <v>444</v>
      </c>
      <c r="H21" s="14" t="s">
        <v>444</v>
      </c>
      <c r="I21" s="14" t="s">
        <v>444</v>
      </c>
      <c r="J21" s="14" t="s">
        <v>444</v>
      </c>
      <c r="K21" s="14" t="s">
        <v>444</v>
      </c>
      <c r="L21" s="14" t="s">
        <v>444</v>
      </c>
      <c r="M21" s="14" t="s">
        <v>444</v>
      </c>
      <c r="N21" s="15" t="s">
        <v>445</v>
      </c>
      <c r="O21" s="14" t="s">
        <v>449</v>
      </c>
      <c r="P21" s="18"/>
    </row>
    <row r="22" spans="1:16" ht="28" customHeight="1">
      <c r="A22" s="5">
        <v>20</v>
      </c>
      <c r="B22" s="4">
        <v>37300664</v>
      </c>
      <c r="C22" s="50" t="s">
        <v>490</v>
      </c>
      <c r="D22" s="10" t="s">
        <v>441</v>
      </c>
      <c r="E22" s="10" t="s">
        <v>441</v>
      </c>
      <c r="F22" s="14" t="s">
        <v>442</v>
      </c>
      <c r="G22" s="14" t="s">
        <v>491</v>
      </c>
      <c r="H22" s="14" t="s">
        <v>444</v>
      </c>
      <c r="I22" s="8" t="s">
        <v>444</v>
      </c>
      <c r="J22" s="8" t="s">
        <v>444</v>
      </c>
      <c r="K22" s="8" t="s">
        <v>444</v>
      </c>
      <c r="L22" s="8" t="s">
        <v>444</v>
      </c>
      <c r="M22" s="8" t="s">
        <v>444</v>
      </c>
      <c r="N22" s="15" t="s">
        <v>445</v>
      </c>
      <c r="O22" s="14" t="s">
        <v>468</v>
      </c>
      <c r="P22" s="18"/>
    </row>
    <row r="23" spans="1:16" ht="56" customHeight="1">
      <c r="A23" s="5">
        <v>21</v>
      </c>
      <c r="B23" s="4">
        <v>40970779</v>
      </c>
      <c r="C23" s="50" t="s">
        <v>290</v>
      </c>
      <c r="D23" s="10" t="s">
        <v>441</v>
      </c>
      <c r="E23" s="10" t="s">
        <v>441</v>
      </c>
      <c r="F23" s="8" t="s">
        <v>478</v>
      </c>
      <c r="G23" s="16" t="s">
        <v>492</v>
      </c>
      <c r="H23" s="8" t="s">
        <v>441</v>
      </c>
      <c r="I23" s="12" t="s">
        <v>493</v>
      </c>
      <c r="J23" s="12" t="s">
        <v>441</v>
      </c>
      <c r="K23" s="12" t="s">
        <v>494</v>
      </c>
      <c r="L23" s="12" t="s">
        <v>495</v>
      </c>
      <c r="M23" s="12" t="s">
        <v>496</v>
      </c>
      <c r="N23" s="13" t="s">
        <v>484</v>
      </c>
      <c r="O23" s="16" t="s">
        <v>497</v>
      </c>
      <c r="P23" s="18"/>
    </row>
    <row r="24" spans="1:16" ht="42" customHeight="1">
      <c r="A24" s="5">
        <v>22</v>
      </c>
      <c r="B24" s="4">
        <v>36765979</v>
      </c>
      <c r="C24" s="50" t="s">
        <v>498</v>
      </c>
      <c r="D24" s="10" t="s">
        <v>441</v>
      </c>
      <c r="E24" s="10" t="s">
        <v>441</v>
      </c>
      <c r="F24" s="8" t="s">
        <v>478</v>
      </c>
      <c r="G24" s="16" t="s">
        <v>499</v>
      </c>
      <c r="H24" s="8" t="s">
        <v>441</v>
      </c>
      <c r="I24" s="12" t="s">
        <v>500</v>
      </c>
      <c r="J24" s="12" t="s">
        <v>441</v>
      </c>
      <c r="K24" s="12" t="s">
        <v>501</v>
      </c>
      <c r="L24" s="14" t="s">
        <v>688</v>
      </c>
      <c r="M24" s="12" t="s">
        <v>1116</v>
      </c>
      <c r="N24" s="13" t="s">
        <v>445</v>
      </c>
      <c r="O24" s="14" t="s">
        <v>1117</v>
      </c>
      <c r="P24" s="18"/>
    </row>
    <row r="25" spans="1:16" ht="14.5" customHeight="1">
      <c r="A25" s="5">
        <v>23</v>
      </c>
      <c r="B25" s="4">
        <v>17484443</v>
      </c>
      <c r="C25" s="50" t="s">
        <v>502</v>
      </c>
      <c r="D25" s="10" t="s">
        <v>448</v>
      </c>
      <c r="E25" s="10" t="s">
        <v>448</v>
      </c>
      <c r="F25" s="14" t="s">
        <v>444</v>
      </c>
      <c r="G25" s="14" t="s">
        <v>444</v>
      </c>
      <c r="H25" s="14" t="s">
        <v>444</v>
      </c>
      <c r="I25" s="14" t="s">
        <v>444</v>
      </c>
      <c r="J25" s="14" t="s">
        <v>444</v>
      </c>
      <c r="K25" s="14" t="s">
        <v>444</v>
      </c>
      <c r="L25" s="14" t="s">
        <v>444</v>
      </c>
      <c r="M25" s="14" t="s">
        <v>444</v>
      </c>
      <c r="N25" s="15" t="s">
        <v>445</v>
      </c>
      <c r="O25" s="14" t="s">
        <v>449</v>
      </c>
      <c r="P25" s="18"/>
    </row>
    <row r="26" spans="1:16" ht="70" customHeight="1">
      <c r="A26" s="5">
        <v>24</v>
      </c>
      <c r="B26" s="4">
        <v>38671840</v>
      </c>
      <c r="C26" s="50" t="s">
        <v>503</v>
      </c>
      <c r="D26" s="10" t="s">
        <v>441</v>
      </c>
      <c r="E26" s="10" t="s">
        <v>441</v>
      </c>
      <c r="F26" s="14" t="s">
        <v>442</v>
      </c>
      <c r="G26" s="14" t="s">
        <v>504</v>
      </c>
      <c r="H26" s="14" t="s">
        <v>444</v>
      </c>
      <c r="I26" s="8" t="s">
        <v>444</v>
      </c>
      <c r="J26" s="8" t="s">
        <v>444</v>
      </c>
      <c r="K26" s="8" t="s">
        <v>444</v>
      </c>
      <c r="L26" s="8" t="s">
        <v>444</v>
      </c>
      <c r="M26" s="8" t="s">
        <v>444</v>
      </c>
      <c r="N26" s="15" t="s">
        <v>445</v>
      </c>
      <c r="O26" s="14" t="s">
        <v>468</v>
      </c>
      <c r="P26" s="18"/>
    </row>
    <row r="27" spans="1:16" ht="42" customHeight="1">
      <c r="A27" s="5">
        <v>25</v>
      </c>
      <c r="B27" s="4">
        <v>21815899</v>
      </c>
      <c r="C27" s="50" t="s">
        <v>505</v>
      </c>
      <c r="D27" s="10" t="s">
        <v>441</v>
      </c>
      <c r="E27" s="10" t="s">
        <v>441</v>
      </c>
      <c r="F27" s="14" t="s">
        <v>442</v>
      </c>
      <c r="G27" s="14" t="s">
        <v>506</v>
      </c>
      <c r="H27" s="14" t="s">
        <v>444</v>
      </c>
      <c r="I27" s="8" t="s">
        <v>444</v>
      </c>
      <c r="J27" s="8" t="s">
        <v>444</v>
      </c>
      <c r="K27" s="8" t="s">
        <v>444</v>
      </c>
      <c r="L27" s="8" t="s">
        <v>444</v>
      </c>
      <c r="M27" s="8" t="s">
        <v>444</v>
      </c>
      <c r="N27" s="15" t="s">
        <v>445</v>
      </c>
      <c r="O27" s="14" t="s">
        <v>468</v>
      </c>
      <c r="P27" s="18"/>
    </row>
    <row r="28" spans="1:16" ht="42" customHeight="1">
      <c r="A28" s="5">
        <v>26</v>
      </c>
      <c r="B28" s="4">
        <v>40731351</v>
      </c>
      <c r="C28" s="50" t="s">
        <v>507</v>
      </c>
      <c r="D28" s="10" t="s">
        <v>441</v>
      </c>
      <c r="E28" s="10" t="s">
        <v>441</v>
      </c>
      <c r="F28" s="14" t="s">
        <v>442</v>
      </c>
      <c r="G28" s="14" t="s">
        <v>508</v>
      </c>
      <c r="H28" s="14" t="s">
        <v>444</v>
      </c>
      <c r="I28" s="8" t="s">
        <v>444</v>
      </c>
      <c r="J28" s="8" t="s">
        <v>444</v>
      </c>
      <c r="K28" s="8" t="s">
        <v>444</v>
      </c>
      <c r="L28" s="8" t="s">
        <v>444</v>
      </c>
      <c r="M28" s="8" t="s">
        <v>444</v>
      </c>
      <c r="N28" s="15" t="s">
        <v>445</v>
      </c>
      <c r="O28" s="14" t="s">
        <v>458</v>
      </c>
      <c r="P28" s="18"/>
    </row>
    <row r="29" spans="1:16" ht="56" customHeight="1">
      <c r="A29" s="5">
        <v>27</v>
      </c>
      <c r="B29" s="4">
        <v>37120892</v>
      </c>
      <c r="C29" s="50" t="s">
        <v>509</v>
      </c>
      <c r="D29" s="10" t="s">
        <v>448</v>
      </c>
      <c r="E29" s="10" t="s">
        <v>448</v>
      </c>
      <c r="F29" s="14" t="s">
        <v>444</v>
      </c>
      <c r="G29" s="14" t="s">
        <v>444</v>
      </c>
      <c r="H29" s="14" t="s">
        <v>444</v>
      </c>
      <c r="I29" s="14" t="s">
        <v>444</v>
      </c>
      <c r="J29" s="14" t="s">
        <v>444</v>
      </c>
      <c r="K29" s="14" t="s">
        <v>444</v>
      </c>
      <c r="L29" s="14" t="s">
        <v>444</v>
      </c>
      <c r="M29" s="14" t="s">
        <v>444</v>
      </c>
      <c r="N29" s="15" t="s">
        <v>445</v>
      </c>
      <c r="O29" s="14" t="s">
        <v>449</v>
      </c>
      <c r="P29" s="18"/>
    </row>
    <row r="30" spans="1:16" ht="28" customHeight="1">
      <c r="A30" s="5">
        <v>28</v>
      </c>
      <c r="B30" s="4">
        <v>32875369</v>
      </c>
      <c r="C30" s="50" t="s">
        <v>510</v>
      </c>
      <c r="D30" s="10" t="s">
        <v>448</v>
      </c>
      <c r="E30" s="10" t="s">
        <v>448</v>
      </c>
      <c r="F30" s="14" t="s">
        <v>444</v>
      </c>
      <c r="G30" s="14" t="s">
        <v>444</v>
      </c>
      <c r="H30" s="14" t="s">
        <v>444</v>
      </c>
      <c r="I30" s="14" t="s">
        <v>444</v>
      </c>
      <c r="J30" s="14" t="s">
        <v>444</v>
      </c>
      <c r="K30" s="14" t="s">
        <v>444</v>
      </c>
      <c r="L30" s="14" t="s">
        <v>444</v>
      </c>
      <c r="M30" s="14" t="s">
        <v>444</v>
      </c>
      <c r="N30" s="15" t="s">
        <v>445</v>
      </c>
      <c r="O30" s="14" t="s">
        <v>449</v>
      </c>
      <c r="P30" s="18"/>
    </row>
    <row r="31" spans="1:16" ht="28" customHeight="1">
      <c r="A31" s="5">
        <v>29</v>
      </c>
      <c r="B31" s="4">
        <v>22579946</v>
      </c>
      <c r="C31" s="50" t="s">
        <v>511</v>
      </c>
      <c r="D31" s="10" t="s">
        <v>441</v>
      </c>
      <c r="E31" s="10" t="s">
        <v>441</v>
      </c>
      <c r="F31" s="14" t="s">
        <v>442</v>
      </c>
      <c r="G31" s="14" t="s">
        <v>512</v>
      </c>
      <c r="H31" s="14" t="s">
        <v>444</v>
      </c>
      <c r="I31" s="8" t="s">
        <v>444</v>
      </c>
      <c r="J31" s="8" t="s">
        <v>444</v>
      </c>
      <c r="K31" s="8" t="s">
        <v>444</v>
      </c>
      <c r="L31" s="8" t="s">
        <v>444</v>
      </c>
      <c r="M31" s="8" t="s">
        <v>444</v>
      </c>
      <c r="N31" s="15" t="s">
        <v>445</v>
      </c>
      <c r="O31" s="14" t="s">
        <v>513</v>
      </c>
      <c r="P31" s="18"/>
    </row>
    <row r="32" spans="1:16" ht="42" customHeight="1">
      <c r="A32" s="5">
        <v>30</v>
      </c>
      <c r="B32" s="5">
        <v>38266436</v>
      </c>
      <c r="C32" s="50" t="s">
        <v>514</v>
      </c>
      <c r="D32" s="10" t="s">
        <v>441</v>
      </c>
      <c r="E32" s="10" t="s">
        <v>441</v>
      </c>
      <c r="F32" s="8" t="s">
        <v>478</v>
      </c>
      <c r="G32" s="28" t="s">
        <v>515</v>
      </c>
      <c r="H32" s="8" t="s">
        <v>441</v>
      </c>
      <c r="I32" s="28" t="s">
        <v>516</v>
      </c>
      <c r="J32" s="29" t="s">
        <v>448</v>
      </c>
      <c r="K32" s="30" t="s">
        <v>517</v>
      </c>
      <c r="L32" s="8" t="s">
        <v>444</v>
      </c>
      <c r="M32" s="8" t="s">
        <v>444</v>
      </c>
      <c r="N32" s="27" t="s">
        <v>445</v>
      </c>
      <c r="O32" s="14" t="s">
        <v>518</v>
      </c>
      <c r="P32" s="18"/>
    </row>
    <row r="33" spans="1:16" ht="42" customHeight="1">
      <c r="A33" s="5">
        <v>31</v>
      </c>
      <c r="B33" s="4">
        <v>38892617</v>
      </c>
      <c r="C33" s="50" t="s">
        <v>19</v>
      </c>
      <c r="D33" s="10" t="s">
        <v>441</v>
      </c>
      <c r="E33" s="10" t="s">
        <v>441</v>
      </c>
      <c r="F33" s="8" t="s">
        <v>478</v>
      </c>
      <c r="G33" s="16" t="s">
        <v>519</v>
      </c>
      <c r="H33" s="8" t="s">
        <v>441</v>
      </c>
      <c r="I33" s="12" t="s">
        <v>520</v>
      </c>
      <c r="J33" s="12" t="s">
        <v>441</v>
      </c>
      <c r="K33" s="12" t="s">
        <v>521</v>
      </c>
      <c r="L33" s="12" t="s">
        <v>522</v>
      </c>
      <c r="M33" s="12" t="s">
        <v>523</v>
      </c>
      <c r="N33" s="13" t="s">
        <v>484</v>
      </c>
      <c r="O33" s="16" t="s">
        <v>524</v>
      </c>
      <c r="P33" s="18"/>
    </row>
    <row r="34" spans="1:16" ht="42" customHeight="1">
      <c r="A34" s="5">
        <v>32</v>
      </c>
      <c r="B34" s="4">
        <v>39594476</v>
      </c>
      <c r="C34" s="50" t="s">
        <v>525</v>
      </c>
      <c r="D34" s="10" t="s">
        <v>441</v>
      </c>
      <c r="E34" s="10" t="s">
        <v>441</v>
      </c>
      <c r="F34" s="14" t="s">
        <v>442</v>
      </c>
      <c r="G34" s="14" t="s">
        <v>526</v>
      </c>
      <c r="H34" s="14" t="s">
        <v>444</v>
      </c>
      <c r="I34" s="8" t="s">
        <v>444</v>
      </c>
      <c r="J34" s="8" t="s">
        <v>444</v>
      </c>
      <c r="K34" s="8" t="s">
        <v>444</v>
      </c>
      <c r="L34" s="8" t="s">
        <v>444</v>
      </c>
      <c r="M34" s="8" t="s">
        <v>444</v>
      </c>
      <c r="N34" s="15" t="s">
        <v>445</v>
      </c>
      <c r="O34" s="14" t="s">
        <v>468</v>
      </c>
      <c r="P34" s="18"/>
    </row>
    <row r="35" spans="1:16" ht="28" customHeight="1">
      <c r="A35" s="5">
        <v>33</v>
      </c>
      <c r="B35" s="4">
        <v>36206028</v>
      </c>
      <c r="C35" s="50" t="s">
        <v>527</v>
      </c>
      <c r="D35" s="10" t="s">
        <v>448</v>
      </c>
      <c r="E35" s="10" t="s">
        <v>448</v>
      </c>
      <c r="F35" s="14" t="s">
        <v>444</v>
      </c>
      <c r="G35" s="14" t="s">
        <v>444</v>
      </c>
      <c r="H35" s="14" t="s">
        <v>444</v>
      </c>
      <c r="I35" s="14" t="s">
        <v>444</v>
      </c>
      <c r="J35" s="14" t="s">
        <v>444</v>
      </c>
      <c r="K35" s="14" t="s">
        <v>444</v>
      </c>
      <c r="L35" s="14" t="s">
        <v>444</v>
      </c>
      <c r="M35" s="14" t="s">
        <v>444</v>
      </c>
      <c r="N35" s="15" t="s">
        <v>445</v>
      </c>
      <c r="O35" s="14" t="s">
        <v>449</v>
      </c>
      <c r="P35" s="18"/>
    </row>
    <row r="36" spans="1:16" ht="28" customHeight="1">
      <c r="A36" s="5">
        <v>34</v>
      </c>
      <c r="B36" s="4">
        <v>36254234</v>
      </c>
      <c r="C36" s="50" t="s">
        <v>528</v>
      </c>
      <c r="D36" s="10" t="s">
        <v>448</v>
      </c>
      <c r="E36" s="10" t="s">
        <v>448</v>
      </c>
      <c r="F36" s="14" t="s">
        <v>444</v>
      </c>
      <c r="G36" s="14" t="s">
        <v>444</v>
      </c>
      <c r="H36" s="14" t="s">
        <v>444</v>
      </c>
      <c r="I36" s="14" t="s">
        <v>444</v>
      </c>
      <c r="J36" s="14" t="s">
        <v>444</v>
      </c>
      <c r="K36" s="14" t="s">
        <v>444</v>
      </c>
      <c r="L36" s="14" t="s">
        <v>444</v>
      </c>
      <c r="M36" s="14" t="s">
        <v>444</v>
      </c>
      <c r="N36" s="15" t="s">
        <v>445</v>
      </c>
      <c r="O36" s="14" t="s">
        <v>449</v>
      </c>
      <c r="P36" s="18"/>
    </row>
    <row r="37" spans="1:16" ht="28" customHeight="1">
      <c r="A37" s="5">
        <v>35</v>
      </c>
      <c r="B37" s="4">
        <v>37691189</v>
      </c>
      <c r="C37" s="50" t="s">
        <v>529</v>
      </c>
      <c r="D37" s="10" t="s">
        <v>448</v>
      </c>
      <c r="E37" s="10" t="s">
        <v>448</v>
      </c>
      <c r="F37" s="14" t="s">
        <v>444</v>
      </c>
      <c r="G37" s="14" t="s">
        <v>444</v>
      </c>
      <c r="H37" s="14" t="s">
        <v>444</v>
      </c>
      <c r="I37" s="14" t="s">
        <v>444</v>
      </c>
      <c r="J37" s="14" t="s">
        <v>444</v>
      </c>
      <c r="K37" s="14" t="s">
        <v>444</v>
      </c>
      <c r="L37" s="14" t="s">
        <v>444</v>
      </c>
      <c r="M37" s="14" t="s">
        <v>444</v>
      </c>
      <c r="N37" s="15" t="s">
        <v>445</v>
      </c>
      <c r="O37" s="14" t="s">
        <v>449</v>
      </c>
      <c r="P37" s="18"/>
    </row>
    <row r="38" spans="1:16" ht="56" customHeight="1">
      <c r="A38" s="5">
        <v>36</v>
      </c>
      <c r="B38" s="4">
        <v>33557433</v>
      </c>
      <c r="C38" s="50" t="s">
        <v>530</v>
      </c>
      <c r="D38" s="10" t="s">
        <v>441</v>
      </c>
      <c r="E38" s="10" t="s">
        <v>441</v>
      </c>
      <c r="F38" s="8" t="s">
        <v>478</v>
      </c>
      <c r="G38" s="16" t="s">
        <v>531</v>
      </c>
      <c r="H38" s="14" t="s">
        <v>448</v>
      </c>
      <c r="I38" s="14" t="s">
        <v>532</v>
      </c>
      <c r="J38" s="8" t="s">
        <v>444</v>
      </c>
      <c r="K38" s="8" t="s">
        <v>444</v>
      </c>
      <c r="L38" s="8" t="s">
        <v>444</v>
      </c>
      <c r="M38" s="8" t="s">
        <v>444</v>
      </c>
      <c r="N38" s="15" t="s">
        <v>445</v>
      </c>
      <c r="O38" s="14" t="s">
        <v>533</v>
      </c>
      <c r="P38" s="18"/>
    </row>
    <row r="39" spans="1:16" ht="56" customHeight="1">
      <c r="A39" s="5">
        <v>37</v>
      </c>
      <c r="B39" s="4">
        <v>33601842</v>
      </c>
      <c r="C39" s="50" t="s">
        <v>348</v>
      </c>
      <c r="D39" s="10" t="s">
        <v>441</v>
      </c>
      <c r="E39" s="10" t="s">
        <v>441</v>
      </c>
      <c r="F39" s="8" t="s">
        <v>478</v>
      </c>
      <c r="G39" s="16" t="s">
        <v>534</v>
      </c>
      <c r="H39" s="8" t="s">
        <v>441</v>
      </c>
      <c r="I39" s="12" t="s">
        <v>535</v>
      </c>
      <c r="J39" s="12" t="s">
        <v>441</v>
      </c>
      <c r="K39" s="12" t="s">
        <v>536</v>
      </c>
      <c r="L39" s="12" t="s">
        <v>537</v>
      </c>
      <c r="M39" s="12" t="s">
        <v>538</v>
      </c>
      <c r="N39" s="13" t="s">
        <v>484</v>
      </c>
      <c r="O39" s="16" t="s">
        <v>539</v>
      </c>
      <c r="P39" s="18"/>
    </row>
    <row r="40" spans="1:16" ht="42" customHeight="1">
      <c r="A40" s="5">
        <v>38</v>
      </c>
      <c r="B40" s="4">
        <v>38063355</v>
      </c>
      <c r="C40" s="50" t="s">
        <v>540</v>
      </c>
      <c r="D40" s="10" t="s">
        <v>441</v>
      </c>
      <c r="E40" s="10" t="s">
        <v>441</v>
      </c>
      <c r="F40" s="14" t="s">
        <v>442</v>
      </c>
      <c r="G40" s="14" t="s">
        <v>541</v>
      </c>
      <c r="H40" s="14" t="s">
        <v>444</v>
      </c>
      <c r="I40" s="8" t="s">
        <v>444</v>
      </c>
      <c r="J40" s="8" t="s">
        <v>444</v>
      </c>
      <c r="K40" s="8" t="s">
        <v>444</v>
      </c>
      <c r="L40" s="8" t="s">
        <v>444</v>
      </c>
      <c r="M40" s="8" t="s">
        <v>444</v>
      </c>
      <c r="N40" s="15" t="s">
        <v>445</v>
      </c>
      <c r="O40" s="14" t="s">
        <v>468</v>
      </c>
      <c r="P40" s="18"/>
    </row>
    <row r="41" spans="1:16" ht="28" customHeight="1">
      <c r="A41" s="5">
        <v>39</v>
      </c>
      <c r="B41" s="4">
        <v>27619931</v>
      </c>
      <c r="C41" s="50" t="s">
        <v>542</v>
      </c>
      <c r="D41" s="10" t="s">
        <v>441</v>
      </c>
      <c r="E41" s="10" t="s">
        <v>441</v>
      </c>
      <c r="F41" s="14" t="s">
        <v>442</v>
      </c>
      <c r="G41" s="14" t="s">
        <v>543</v>
      </c>
      <c r="H41" s="14" t="s">
        <v>444</v>
      </c>
      <c r="I41" s="8" t="s">
        <v>444</v>
      </c>
      <c r="J41" s="8" t="s">
        <v>444</v>
      </c>
      <c r="K41" s="8" t="s">
        <v>444</v>
      </c>
      <c r="L41" s="8" t="s">
        <v>444</v>
      </c>
      <c r="M41" s="8" t="s">
        <v>444</v>
      </c>
      <c r="N41" s="15" t="s">
        <v>445</v>
      </c>
      <c r="O41" s="14" t="s">
        <v>471</v>
      </c>
      <c r="P41" s="18"/>
    </row>
    <row r="42" spans="1:16" ht="42" customHeight="1">
      <c r="A42" s="5">
        <v>40</v>
      </c>
      <c r="B42" s="5">
        <v>36195907</v>
      </c>
      <c r="C42" s="50" t="s">
        <v>544</v>
      </c>
      <c r="D42" s="10" t="s">
        <v>441</v>
      </c>
      <c r="E42" s="10" t="s">
        <v>441</v>
      </c>
      <c r="F42" s="8" t="s">
        <v>478</v>
      </c>
      <c r="G42" s="16" t="s">
        <v>545</v>
      </c>
      <c r="H42" s="8" t="s">
        <v>441</v>
      </c>
      <c r="I42" s="11" t="s">
        <v>546</v>
      </c>
      <c r="J42" s="12" t="s">
        <v>441</v>
      </c>
      <c r="K42" s="11" t="s">
        <v>547</v>
      </c>
      <c r="L42" s="14" t="s">
        <v>688</v>
      </c>
      <c r="M42" s="14" t="s">
        <v>548</v>
      </c>
      <c r="N42" s="27" t="s">
        <v>445</v>
      </c>
      <c r="O42" s="14" t="s">
        <v>549</v>
      </c>
      <c r="P42" s="18"/>
    </row>
    <row r="43" spans="1:16" ht="56" customHeight="1">
      <c r="A43" s="5">
        <v>41</v>
      </c>
      <c r="B43" s="4">
        <v>38948170</v>
      </c>
      <c r="C43" s="50" t="s">
        <v>550</v>
      </c>
      <c r="D43" s="10" t="s">
        <v>448</v>
      </c>
      <c r="E43" s="10" t="s">
        <v>448</v>
      </c>
      <c r="F43" s="14" t="s">
        <v>444</v>
      </c>
      <c r="G43" s="14" t="s">
        <v>444</v>
      </c>
      <c r="H43" s="14" t="s">
        <v>444</v>
      </c>
      <c r="I43" s="14" t="s">
        <v>444</v>
      </c>
      <c r="J43" s="14" t="s">
        <v>444</v>
      </c>
      <c r="K43" s="14" t="s">
        <v>444</v>
      </c>
      <c r="L43" s="14" t="s">
        <v>444</v>
      </c>
      <c r="M43" s="14" t="s">
        <v>444</v>
      </c>
      <c r="N43" s="15" t="s">
        <v>445</v>
      </c>
      <c r="O43" s="14" t="s">
        <v>449</v>
      </c>
      <c r="P43" s="18"/>
    </row>
    <row r="44" spans="1:16" ht="56" customHeight="1">
      <c r="A44" s="5">
        <v>42</v>
      </c>
      <c r="B44" s="4">
        <v>37500345</v>
      </c>
      <c r="C44" s="50" t="s">
        <v>551</v>
      </c>
      <c r="D44" s="10" t="s">
        <v>448</v>
      </c>
      <c r="E44" s="10" t="s">
        <v>448</v>
      </c>
      <c r="F44" s="14" t="s">
        <v>444</v>
      </c>
      <c r="G44" s="14" t="s">
        <v>444</v>
      </c>
      <c r="H44" s="14" t="s">
        <v>444</v>
      </c>
      <c r="I44" s="14" t="s">
        <v>444</v>
      </c>
      <c r="J44" s="14" t="s">
        <v>444</v>
      </c>
      <c r="K44" s="14" t="s">
        <v>444</v>
      </c>
      <c r="L44" s="14" t="s">
        <v>444</v>
      </c>
      <c r="M44" s="14" t="s">
        <v>444</v>
      </c>
      <c r="N44" s="15" t="s">
        <v>445</v>
      </c>
      <c r="O44" s="14" t="s">
        <v>449</v>
      </c>
      <c r="P44" s="18"/>
    </row>
    <row r="45" spans="1:16" ht="28" customHeight="1">
      <c r="A45" s="5">
        <v>43</v>
      </c>
      <c r="B45" s="4">
        <v>25791371</v>
      </c>
      <c r="C45" s="50" t="s">
        <v>552</v>
      </c>
      <c r="D45" s="10" t="s">
        <v>441</v>
      </c>
      <c r="E45" s="10" t="s">
        <v>441</v>
      </c>
      <c r="F45" s="14" t="s">
        <v>442</v>
      </c>
      <c r="G45" s="14" t="s">
        <v>553</v>
      </c>
      <c r="H45" s="14" t="s">
        <v>444</v>
      </c>
      <c r="I45" s="8" t="s">
        <v>444</v>
      </c>
      <c r="J45" s="8" t="s">
        <v>444</v>
      </c>
      <c r="K45" s="8" t="s">
        <v>444</v>
      </c>
      <c r="L45" s="8" t="s">
        <v>444</v>
      </c>
      <c r="M45" s="8" t="s">
        <v>444</v>
      </c>
      <c r="N45" s="15" t="s">
        <v>445</v>
      </c>
      <c r="O45" s="14" t="s">
        <v>468</v>
      </c>
      <c r="P45" s="18"/>
    </row>
    <row r="46" spans="1:16" ht="42" customHeight="1">
      <c r="A46" s="5">
        <v>44</v>
      </c>
      <c r="B46" s="4">
        <v>34212447</v>
      </c>
      <c r="C46" s="50" t="s">
        <v>554</v>
      </c>
      <c r="D46" s="10" t="s">
        <v>441</v>
      </c>
      <c r="E46" s="10" t="s">
        <v>441</v>
      </c>
      <c r="F46" s="14" t="s">
        <v>442</v>
      </c>
      <c r="G46" s="14" t="s">
        <v>555</v>
      </c>
      <c r="H46" s="14" t="s">
        <v>444</v>
      </c>
      <c r="I46" s="8" t="s">
        <v>444</v>
      </c>
      <c r="J46" s="8" t="s">
        <v>444</v>
      </c>
      <c r="K46" s="8" t="s">
        <v>444</v>
      </c>
      <c r="L46" s="8" t="s">
        <v>444</v>
      </c>
      <c r="M46" s="8" t="s">
        <v>444</v>
      </c>
      <c r="N46" s="15" t="s">
        <v>445</v>
      </c>
      <c r="O46" s="14" t="s">
        <v>468</v>
      </c>
      <c r="P46" s="18"/>
    </row>
    <row r="47" spans="1:16" ht="56" customHeight="1">
      <c r="A47" s="5">
        <v>45</v>
      </c>
      <c r="B47" s="4">
        <v>34976095</v>
      </c>
      <c r="C47" s="50" t="s">
        <v>556</v>
      </c>
      <c r="D47" s="10" t="s">
        <v>448</v>
      </c>
      <c r="E47" s="10" t="s">
        <v>448</v>
      </c>
      <c r="F47" s="14" t="s">
        <v>444</v>
      </c>
      <c r="G47" s="14" t="s">
        <v>444</v>
      </c>
      <c r="H47" s="14" t="s">
        <v>444</v>
      </c>
      <c r="I47" s="14" t="s">
        <v>444</v>
      </c>
      <c r="J47" s="14" t="s">
        <v>444</v>
      </c>
      <c r="K47" s="14" t="s">
        <v>444</v>
      </c>
      <c r="L47" s="14" t="s">
        <v>444</v>
      </c>
      <c r="M47" s="14" t="s">
        <v>444</v>
      </c>
      <c r="N47" s="15" t="s">
        <v>445</v>
      </c>
      <c r="O47" s="14" t="s">
        <v>449</v>
      </c>
      <c r="P47" s="18"/>
    </row>
    <row r="48" spans="1:16" ht="56" customHeight="1">
      <c r="A48" s="5">
        <v>46</v>
      </c>
      <c r="B48" s="4">
        <v>34371700</v>
      </c>
      <c r="C48" s="50" t="s">
        <v>112</v>
      </c>
      <c r="D48" s="10" t="s">
        <v>441</v>
      </c>
      <c r="E48" s="10" t="s">
        <v>441</v>
      </c>
      <c r="F48" s="8" t="s">
        <v>478</v>
      </c>
      <c r="G48" s="16" t="s">
        <v>557</v>
      </c>
      <c r="H48" s="8" t="s">
        <v>441</v>
      </c>
      <c r="I48" s="12" t="s">
        <v>558</v>
      </c>
      <c r="J48" s="12" t="s">
        <v>441</v>
      </c>
      <c r="K48" s="12" t="s">
        <v>559</v>
      </c>
      <c r="L48" s="12" t="s">
        <v>560</v>
      </c>
      <c r="M48" s="12" t="s">
        <v>561</v>
      </c>
      <c r="N48" s="13" t="s">
        <v>484</v>
      </c>
      <c r="O48" s="16" t="s">
        <v>562</v>
      </c>
      <c r="P48" s="18"/>
    </row>
    <row r="49" spans="1:16" ht="56" customHeight="1">
      <c r="A49" s="5">
        <v>47</v>
      </c>
      <c r="B49" s="4">
        <v>33739219</v>
      </c>
      <c r="C49" s="50" t="s">
        <v>563</v>
      </c>
      <c r="D49" s="10" t="s">
        <v>441</v>
      </c>
      <c r="E49" s="10" t="s">
        <v>441</v>
      </c>
      <c r="F49" s="14" t="s">
        <v>442</v>
      </c>
      <c r="G49" s="14" t="s">
        <v>564</v>
      </c>
      <c r="H49" s="14" t="s">
        <v>444</v>
      </c>
      <c r="I49" s="8" t="s">
        <v>444</v>
      </c>
      <c r="J49" s="8" t="s">
        <v>444</v>
      </c>
      <c r="K49" s="8" t="s">
        <v>444</v>
      </c>
      <c r="L49" s="8" t="s">
        <v>444</v>
      </c>
      <c r="M49" s="8" t="s">
        <v>444</v>
      </c>
      <c r="N49" s="15" t="s">
        <v>445</v>
      </c>
      <c r="O49" s="14" t="s">
        <v>468</v>
      </c>
      <c r="P49" s="18"/>
    </row>
    <row r="50" spans="1:16" ht="14.5" customHeight="1">
      <c r="A50" s="5">
        <v>48</v>
      </c>
      <c r="B50" s="4">
        <v>26109781</v>
      </c>
      <c r="C50" s="50" t="s">
        <v>565</v>
      </c>
      <c r="D50" s="10" t="s">
        <v>448</v>
      </c>
      <c r="E50" s="10" t="s">
        <v>448</v>
      </c>
      <c r="F50" s="14" t="s">
        <v>444</v>
      </c>
      <c r="G50" s="14" t="s">
        <v>444</v>
      </c>
      <c r="H50" s="14" t="s">
        <v>444</v>
      </c>
      <c r="I50" s="14" t="s">
        <v>444</v>
      </c>
      <c r="J50" s="14" t="s">
        <v>444</v>
      </c>
      <c r="K50" s="14" t="s">
        <v>444</v>
      </c>
      <c r="L50" s="14" t="s">
        <v>444</v>
      </c>
      <c r="M50" s="14" t="s">
        <v>444</v>
      </c>
      <c r="N50" s="15" t="s">
        <v>445</v>
      </c>
      <c r="O50" s="14" t="s">
        <v>449</v>
      </c>
      <c r="P50" s="18"/>
    </row>
    <row r="51" spans="1:16" ht="28" customHeight="1">
      <c r="A51" s="5">
        <v>49</v>
      </c>
      <c r="B51" s="4">
        <v>24239092</v>
      </c>
      <c r="C51" s="50" t="s">
        <v>566</v>
      </c>
      <c r="D51" s="10" t="s">
        <v>441</v>
      </c>
      <c r="E51" s="10" t="s">
        <v>441</v>
      </c>
      <c r="F51" s="8" t="s">
        <v>478</v>
      </c>
      <c r="G51" s="16" t="s">
        <v>567</v>
      </c>
      <c r="H51" s="8" t="s">
        <v>441</v>
      </c>
      <c r="I51" s="12" t="s">
        <v>568</v>
      </c>
      <c r="J51" s="12" t="s">
        <v>441</v>
      </c>
      <c r="K51" s="12" t="s">
        <v>569</v>
      </c>
      <c r="L51" s="14" t="s">
        <v>688</v>
      </c>
      <c r="M51" s="12" t="s">
        <v>1115</v>
      </c>
      <c r="N51" s="13" t="s">
        <v>445</v>
      </c>
      <c r="O51" s="14" t="s">
        <v>1117</v>
      </c>
      <c r="P51" s="18"/>
    </row>
    <row r="52" spans="1:16" ht="56" customHeight="1">
      <c r="A52" s="5">
        <v>50</v>
      </c>
      <c r="B52" s="4">
        <v>40611215</v>
      </c>
      <c r="C52" s="50" t="s">
        <v>570</v>
      </c>
      <c r="D52" s="10" t="s">
        <v>441</v>
      </c>
      <c r="E52" s="10" t="s">
        <v>441</v>
      </c>
      <c r="F52" s="8" t="s">
        <v>442</v>
      </c>
      <c r="G52" s="14" t="s">
        <v>571</v>
      </c>
      <c r="H52" s="8" t="s">
        <v>444</v>
      </c>
      <c r="I52" s="8" t="s">
        <v>444</v>
      </c>
      <c r="J52" s="8" t="s">
        <v>444</v>
      </c>
      <c r="K52" s="8" t="s">
        <v>444</v>
      </c>
      <c r="L52" s="8" t="s">
        <v>444</v>
      </c>
      <c r="M52" s="8" t="s">
        <v>444</v>
      </c>
      <c r="N52" s="15" t="s">
        <v>445</v>
      </c>
      <c r="O52" s="14" t="s">
        <v>1118</v>
      </c>
      <c r="P52" s="18"/>
    </row>
    <row r="53" spans="1:16" ht="28" customHeight="1">
      <c r="A53" s="5">
        <v>51</v>
      </c>
      <c r="B53" s="4">
        <v>34813609</v>
      </c>
      <c r="C53" s="50" t="s">
        <v>572</v>
      </c>
      <c r="D53" s="10" t="s">
        <v>441</v>
      </c>
      <c r="E53" s="10" t="s">
        <v>441</v>
      </c>
      <c r="F53" s="14" t="s">
        <v>478</v>
      </c>
      <c r="G53" s="14" t="s">
        <v>573</v>
      </c>
      <c r="H53" s="14" t="s">
        <v>441</v>
      </c>
      <c r="I53" s="14" t="s">
        <v>574</v>
      </c>
      <c r="J53" s="14" t="s">
        <v>448</v>
      </c>
      <c r="K53" s="14" t="s">
        <v>575</v>
      </c>
      <c r="L53" s="14" t="s">
        <v>444</v>
      </c>
      <c r="M53" s="14" t="s">
        <v>444</v>
      </c>
      <c r="N53" s="15" t="s">
        <v>445</v>
      </c>
      <c r="O53" s="14" t="s">
        <v>576</v>
      </c>
      <c r="P53" s="14" t="s">
        <v>577</v>
      </c>
    </row>
    <row r="54" spans="1:16" ht="42" customHeight="1">
      <c r="A54" s="5">
        <v>52</v>
      </c>
      <c r="B54" s="4">
        <v>37781063</v>
      </c>
      <c r="C54" s="50" t="s">
        <v>260</v>
      </c>
      <c r="D54" s="10" t="s">
        <v>441</v>
      </c>
      <c r="E54" s="10" t="s">
        <v>441</v>
      </c>
      <c r="F54" s="8" t="s">
        <v>478</v>
      </c>
      <c r="G54" s="16" t="s">
        <v>578</v>
      </c>
      <c r="H54" s="8" t="s">
        <v>441</v>
      </c>
      <c r="I54" s="12" t="s">
        <v>579</v>
      </c>
      <c r="J54" s="12" t="s">
        <v>441</v>
      </c>
      <c r="K54" s="12" t="s">
        <v>580</v>
      </c>
      <c r="L54" s="12" t="s">
        <v>581</v>
      </c>
      <c r="M54" s="12" t="s">
        <v>582</v>
      </c>
      <c r="N54" s="13" t="s">
        <v>484</v>
      </c>
      <c r="O54" s="16" t="s">
        <v>583</v>
      </c>
      <c r="P54" s="18"/>
    </row>
    <row r="55" spans="1:16" ht="28" customHeight="1">
      <c r="A55" s="5">
        <v>53</v>
      </c>
      <c r="B55" s="4">
        <v>25392573</v>
      </c>
      <c r="C55" s="50" t="s">
        <v>584</v>
      </c>
      <c r="D55" s="10" t="s">
        <v>441</v>
      </c>
      <c r="E55" s="10" t="s">
        <v>441</v>
      </c>
      <c r="F55" s="8" t="s">
        <v>478</v>
      </c>
      <c r="G55" s="16" t="s">
        <v>585</v>
      </c>
      <c r="H55" s="8" t="s">
        <v>441</v>
      </c>
      <c r="I55" s="12" t="s">
        <v>586</v>
      </c>
      <c r="J55" s="12" t="s">
        <v>441</v>
      </c>
      <c r="K55" s="12" t="s">
        <v>587</v>
      </c>
      <c r="L55" s="12" t="s">
        <v>588</v>
      </c>
      <c r="M55" s="12" t="s">
        <v>589</v>
      </c>
      <c r="N55" s="13" t="s">
        <v>484</v>
      </c>
      <c r="O55" s="16" t="s">
        <v>590</v>
      </c>
      <c r="P55" s="18"/>
    </row>
    <row r="56" spans="1:16" ht="42" customHeight="1">
      <c r="A56" s="5">
        <v>54</v>
      </c>
      <c r="B56" s="4">
        <v>29319361</v>
      </c>
      <c r="C56" s="50" t="s">
        <v>591</v>
      </c>
      <c r="D56" s="10" t="s">
        <v>441</v>
      </c>
      <c r="E56" s="10" t="s">
        <v>441</v>
      </c>
      <c r="F56" s="14" t="s">
        <v>442</v>
      </c>
      <c r="G56" s="14" t="s">
        <v>592</v>
      </c>
      <c r="H56" s="14" t="s">
        <v>444</v>
      </c>
      <c r="I56" s="8" t="s">
        <v>444</v>
      </c>
      <c r="J56" s="8" t="s">
        <v>444</v>
      </c>
      <c r="K56" s="8" t="s">
        <v>444</v>
      </c>
      <c r="L56" s="8" t="s">
        <v>444</v>
      </c>
      <c r="M56" s="8" t="s">
        <v>444</v>
      </c>
      <c r="N56" s="15" t="s">
        <v>445</v>
      </c>
      <c r="O56" s="14" t="s">
        <v>593</v>
      </c>
      <c r="P56" s="18"/>
    </row>
    <row r="57" spans="1:16" ht="56" customHeight="1">
      <c r="A57" s="5">
        <v>55</v>
      </c>
      <c r="B57" s="4">
        <v>25671183</v>
      </c>
      <c r="C57" s="50" t="s">
        <v>594</v>
      </c>
      <c r="D57" s="10" t="s">
        <v>441</v>
      </c>
      <c r="E57" s="10" t="s">
        <v>441</v>
      </c>
      <c r="F57" s="8" t="s">
        <v>478</v>
      </c>
      <c r="G57" s="16" t="s">
        <v>595</v>
      </c>
      <c r="H57" s="8" t="s">
        <v>441</v>
      </c>
      <c r="I57" s="12" t="s">
        <v>596</v>
      </c>
      <c r="J57" s="12" t="s">
        <v>441</v>
      </c>
      <c r="K57" s="12" t="s">
        <v>597</v>
      </c>
      <c r="L57" s="12" t="s">
        <v>598</v>
      </c>
      <c r="M57" s="12" t="s">
        <v>599</v>
      </c>
      <c r="N57" s="13" t="s">
        <v>484</v>
      </c>
      <c r="O57" s="16" t="s">
        <v>600</v>
      </c>
      <c r="P57" s="18"/>
    </row>
    <row r="58" spans="1:16" ht="28" customHeight="1">
      <c r="A58" s="5">
        <v>56</v>
      </c>
      <c r="B58" s="4">
        <v>37334385</v>
      </c>
      <c r="C58" s="50" t="s">
        <v>601</v>
      </c>
      <c r="D58" s="10" t="s">
        <v>441</v>
      </c>
      <c r="E58" s="10" t="s">
        <v>441</v>
      </c>
      <c r="F58" s="8" t="s">
        <v>478</v>
      </c>
      <c r="G58" s="16" t="s">
        <v>602</v>
      </c>
      <c r="H58" s="14" t="s">
        <v>448</v>
      </c>
      <c r="I58" s="14" t="s">
        <v>603</v>
      </c>
      <c r="J58" s="8" t="s">
        <v>444</v>
      </c>
      <c r="K58" s="8" t="s">
        <v>444</v>
      </c>
      <c r="L58" s="8" t="s">
        <v>444</v>
      </c>
      <c r="M58" s="8" t="s">
        <v>444</v>
      </c>
      <c r="N58" s="27" t="s">
        <v>445</v>
      </c>
      <c r="O58" s="14" t="s">
        <v>604</v>
      </c>
      <c r="P58" s="18"/>
    </row>
    <row r="59" spans="1:16" ht="56" customHeight="1">
      <c r="A59" s="5">
        <v>57</v>
      </c>
      <c r="B59" s="4">
        <v>28874357</v>
      </c>
      <c r="C59" s="50" t="s">
        <v>605</v>
      </c>
      <c r="D59" s="10" t="s">
        <v>441</v>
      </c>
      <c r="E59" s="10" t="s">
        <v>441</v>
      </c>
      <c r="F59" s="8" t="s">
        <v>478</v>
      </c>
      <c r="G59" s="16" t="s">
        <v>606</v>
      </c>
      <c r="H59" s="8" t="s">
        <v>441</v>
      </c>
      <c r="I59" s="12" t="s">
        <v>607</v>
      </c>
      <c r="J59" s="12" t="s">
        <v>441</v>
      </c>
      <c r="K59" s="12" t="s">
        <v>608</v>
      </c>
      <c r="L59" s="12" t="s">
        <v>609</v>
      </c>
      <c r="M59" s="12" t="s">
        <v>610</v>
      </c>
      <c r="N59" s="13" t="s">
        <v>484</v>
      </c>
      <c r="O59" s="16" t="s">
        <v>611</v>
      </c>
      <c r="P59" s="18"/>
    </row>
    <row r="60" spans="1:16" ht="42" customHeight="1">
      <c r="A60" s="5">
        <v>58</v>
      </c>
      <c r="B60" s="4">
        <v>37701673</v>
      </c>
      <c r="C60" s="50" t="s">
        <v>612</v>
      </c>
      <c r="D60" s="10" t="s">
        <v>441</v>
      </c>
      <c r="E60" s="10" t="s">
        <v>441</v>
      </c>
      <c r="F60" s="8" t="s">
        <v>442</v>
      </c>
      <c r="G60" s="14" t="s">
        <v>613</v>
      </c>
      <c r="H60" s="14" t="s">
        <v>444</v>
      </c>
      <c r="I60" s="8" t="s">
        <v>444</v>
      </c>
      <c r="J60" s="8" t="s">
        <v>444</v>
      </c>
      <c r="K60" s="8" t="s">
        <v>444</v>
      </c>
      <c r="L60" s="8" t="s">
        <v>444</v>
      </c>
      <c r="M60" s="8" t="s">
        <v>444</v>
      </c>
      <c r="N60" s="15" t="s">
        <v>445</v>
      </c>
      <c r="O60" s="14" t="s">
        <v>614</v>
      </c>
      <c r="P60" s="18"/>
    </row>
    <row r="61" spans="1:16" ht="70" customHeight="1">
      <c r="A61" s="5">
        <v>59</v>
      </c>
      <c r="B61" s="4">
        <v>31901246</v>
      </c>
      <c r="C61" s="50" t="s">
        <v>615</v>
      </c>
      <c r="D61" s="10" t="s">
        <v>441</v>
      </c>
      <c r="E61" s="10" t="s">
        <v>441</v>
      </c>
      <c r="F61" s="8" t="s">
        <v>478</v>
      </c>
      <c r="G61" s="16" t="s">
        <v>616</v>
      </c>
      <c r="H61" s="8" t="s">
        <v>441</v>
      </c>
      <c r="I61" s="12" t="s">
        <v>617</v>
      </c>
      <c r="J61" s="12" t="s">
        <v>441</v>
      </c>
      <c r="K61" s="12" t="s">
        <v>618</v>
      </c>
      <c r="L61" s="12" t="s">
        <v>619</v>
      </c>
      <c r="M61" s="12" t="s">
        <v>620</v>
      </c>
      <c r="N61" s="13" t="s">
        <v>484</v>
      </c>
      <c r="O61" s="16" t="s">
        <v>621</v>
      </c>
      <c r="P61" s="18"/>
    </row>
    <row r="62" spans="1:16" ht="56" customHeight="1">
      <c r="A62" s="5">
        <v>60</v>
      </c>
      <c r="B62" s="4">
        <v>41207169</v>
      </c>
      <c r="C62" s="50" t="s">
        <v>622</v>
      </c>
      <c r="D62" s="10" t="s">
        <v>448</v>
      </c>
      <c r="E62" s="10" t="s">
        <v>444</v>
      </c>
      <c r="F62" s="14" t="s">
        <v>444</v>
      </c>
      <c r="G62" s="14" t="s">
        <v>444</v>
      </c>
      <c r="H62" s="14" t="s">
        <v>444</v>
      </c>
      <c r="I62" s="14" t="s">
        <v>444</v>
      </c>
      <c r="J62" s="14" t="s">
        <v>444</v>
      </c>
      <c r="K62" s="14" t="s">
        <v>444</v>
      </c>
      <c r="L62" s="14" t="s">
        <v>444</v>
      </c>
      <c r="M62" s="14" t="s">
        <v>444</v>
      </c>
      <c r="N62" s="15" t="s">
        <v>445</v>
      </c>
      <c r="O62" s="14" t="s">
        <v>449</v>
      </c>
      <c r="P62" s="18"/>
    </row>
    <row r="63" spans="1:16" ht="56" customHeight="1">
      <c r="A63" s="5">
        <v>61</v>
      </c>
      <c r="B63" s="4">
        <v>26758574</v>
      </c>
      <c r="C63" s="50" t="s">
        <v>36</v>
      </c>
      <c r="D63" s="10" t="s">
        <v>441</v>
      </c>
      <c r="E63" s="10" t="s">
        <v>441</v>
      </c>
      <c r="F63" s="8" t="s">
        <v>478</v>
      </c>
      <c r="G63" s="16" t="s">
        <v>623</v>
      </c>
      <c r="H63" s="8" t="s">
        <v>441</v>
      </c>
      <c r="I63" s="12" t="s">
        <v>624</v>
      </c>
      <c r="J63" s="12" t="s">
        <v>441</v>
      </c>
      <c r="K63" s="12" t="s">
        <v>625</v>
      </c>
      <c r="L63" s="12" t="s">
        <v>619</v>
      </c>
      <c r="M63" s="12" t="s">
        <v>620</v>
      </c>
      <c r="N63" s="13" t="s">
        <v>484</v>
      </c>
      <c r="O63" s="16" t="s">
        <v>626</v>
      </c>
      <c r="P63" s="18"/>
    </row>
    <row r="64" spans="1:16" ht="28" customHeight="1">
      <c r="A64" s="5">
        <v>62</v>
      </c>
      <c r="B64" s="4">
        <v>38409705</v>
      </c>
      <c r="C64" s="50" t="s">
        <v>627</v>
      </c>
      <c r="D64" s="10" t="s">
        <v>448</v>
      </c>
      <c r="E64" s="10" t="s">
        <v>444</v>
      </c>
      <c r="F64" s="14" t="s">
        <v>444</v>
      </c>
      <c r="G64" s="14" t="s">
        <v>444</v>
      </c>
      <c r="H64" s="14" t="s">
        <v>444</v>
      </c>
      <c r="I64" s="14" t="s">
        <v>444</v>
      </c>
      <c r="J64" s="14" t="s">
        <v>444</v>
      </c>
      <c r="K64" s="14" t="s">
        <v>444</v>
      </c>
      <c r="L64" s="14" t="s">
        <v>444</v>
      </c>
      <c r="M64" s="14" t="s">
        <v>444</v>
      </c>
      <c r="N64" s="15" t="s">
        <v>445</v>
      </c>
      <c r="O64" s="14" t="s">
        <v>449</v>
      </c>
      <c r="P64" s="18"/>
    </row>
    <row r="65" spans="1:16" ht="28" customHeight="1">
      <c r="A65" s="5">
        <v>63</v>
      </c>
      <c r="B65" s="4">
        <v>30418002</v>
      </c>
      <c r="C65" s="50" t="s">
        <v>628</v>
      </c>
      <c r="D65" s="10" t="s">
        <v>448</v>
      </c>
      <c r="E65" s="10" t="s">
        <v>444</v>
      </c>
      <c r="F65" s="14" t="s">
        <v>444</v>
      </c>
      <c r="G65" s="14" t="s">
        <v>444</v>
      </c>
      <c r="H65" s="14" t="s">
        <v>444</v>
      </c>
      <c r="I65" s="14" t="s">
        <v>444</v>
      </c>
      <c r="J65" s="14" t="s">
        <v>444</v>
      </c>
      <c r="K65" s="14" t="s">
        <v>444</v>
      </c>
      <c r="L65" s="14" t="s">
        <v>444</v>
      </c>
      <c r="M65" s="14" t="s">
        <v>444</v>
      </c>
      <c r="N65" s="15" t="s">
        <v>445</v>
      </c>
      <c r="O65" s="14" t="s">
        <v>449</v>
      </c>
      <c r="P65" s="18"/>
    </row>
    <row r="66" spans="1:16" ht="28" customHeight="1">
      <c r="A66" s="5">
        <v>64</v>
      </c>
      <c r="B66" s="4">
        <v>22007625</v>
      </c>
      <c r="C66" s="50" t="s">
        <v>629</v>
      </c>
      <c r="D66" s="10" t="s">
        <v>441</v>
      </c>
      <c r="E66" s="10" t="s">
        <v>441</v>
      </c>
      <c r="F66" s="8" t="s">
        <v>442</v>
      </c>
      <c r="G66" s="14" t="s">
        <v>630</v>
      </c>
      <c r="H66" s="14" t="s">
        <v>444</v>
      </c>
      <c r="I66" s="8" t="s">
        <v>444</v>
      </c>
      <c r="J66" s="8" t="s">
        <v>444</v>
      </c>
      <c r="K66" s="8" t="s">
        <v>444</v>
      </c>
      <c r="L66" s="8" t="s">
        <v>444</v>
      </c>
      <c r="M66" s="8" t="s">
        <v>444</v>
      </c>
      <c r="N66" s="15" t="s">
        <v>445</v>
      </c>
      <c r="O66" s="14" t="s">
        <v>631</v>
      </c>
      <c r="P66" s="18"/>
    </row>
    <row r="67" spans="1:16" ht="70" customHeight="1">
      <c r="A67" s="5">
        <v>65</v>
      </c>
      <c r="B67" s="4">
        <v>40806030</v>
      </c>
      <c r="C67" s="50" t="s">
        <v>632</v>
      </c>
      <c r="D67" s="10" t="s">
        <v>441</v>
      </c>
      <c r="E67" s="10" t="s">
        <v>441</v>
      </c>
      <c r="F67" s="8" t="s">
        <v>478</v>
      </c>
      <c r="G67" s="16" t="s">
        <v>633</v>
      </c>
      <c r="H67" s="14" t="s">
        <v>448</v>
      </c>
      <c r="I67" s="14" t="s">
        <v>634</v>
      </c>
      <c r="J67" s="8" t="s">
        <v>444</v>
      </c>
      <c r="K67" s="8" t="s">
        <v>444</v>
      </c>
      <c r="L67" s="8" t="s">
        <v>444</v>
      </c>
      <c r="M67" s="8" t="s">
        <v>444</v>
      </c>
      <c r="N67" s="27" t="s">
        <v>445</v>
      </c>
      <c r="O67" s="14" t="s">
        <v>635</v>
      </c>
      <c r="P67" s="18"/>
    </row>
    <row r="68" spans="1:16" ht="28" customHeight="1">
      <c r="A68" s="5">
        <v>66</v>
      </c>
      <c r="B68" s="4">
        <v>28559210</v>
      </c>
      <c r="C68" s="50" t="s">
        <v>636</v>
      </c>
      <c r="D68" s="10" t="s">
        <v>441</v>
      </c>
      <c r="E68" s="10" t="s">
        <v>441</v>
      </c>
      <c r="F68" s="8" t="s">
        <v>442</v>
      </c>
      <c r="G68" s="14" t="s">
        <v>637</v>
      </c>
      <c r="H68" s="14" t="s">
        <v>444</v>
      </c>
      <c r="I68" s="8" t="s">
        <v>444</v>
      </c>
      <c r="J68" s="8" t="s">
        <v>444</v>
      </c>
      <c r="K68" s="8" t="s">
        <v>444</v>
      </c>
      <c r="L68" s="8" t="s">
        <v>444</v>
      </c>
      <c r="M68" s="8" t="s">
        <v>444</v>
      </c>
      <c r="N68" s="15" t="s">
        <v>445</v>
      </c>
      <c r="O68" s="14" t="s">
        <v>638</v>
      </c>
      <c r="P68" s="18"/>
    </row>
    <row r="69" spans="1:16" ht="28" customHeight="1">
      <c r="A69" s="5">
        <v>67</v>
      </c>
      <c r="B69" s="4">
        <v>26092628</v>
      </c>
      <c r="C69" s="50" t="s">
        <v>639</v>
      </c>
      <c r="D69" s="10" t="s">
        <v>441</v>
      </c>
      <c r="E69" s="10" t="s">
        <v>441</v>
      </c>
      <c r="F69" s="8" t="s">
        <v>442</v>
      </c>
      <c r="G69" s="14" t="s">
        <v>640</v>
      </c>
      <c r="H69" s="14" t="s">
        <v>444</v>
      </c>
      <c r="I69" s="8" t="s">
        <v>444</v>
      </c>
      <c r="J69" s="8" t="s">
        <v>444</v>
      </c>
      <c r="K69" s="8" t="s">
        <v>444</v>
      </c>
      <c r="L69" s="8" t="s">
        <v>444</v>
      </c>
      <c r="M69" s="8" t="s">
        <v>444</v>
      </c>
      <c r="N69" s="15" t="s">
        <v>445</v>
      </c>
      <c r="O69" s="14" t="s">
        <v>641</v>
      </c>
      <c r="P69" s="18"/>
    </row>
    <row r="70" spans="1:16" ht="42" customHeight="1">
      <c r="A70" s="5">
        <v>68</v>
      </c>
      <c r="B70" s="4">
        <v>37823129</v>
      </c>
      <c r="C70" s="50" t="s">
        <v>642</v>
      </c>
      <c r="D70" s="10" t="s">
        <v>448</v>
      </c>
      <c r="E70" s="10" t="s">
        <v>444</v>
      </c>
      <c r="F70" s="14" t="s">
        <v>444</v>
      </c>
      <c r="G70" s="14" t="s">
        <v>444</v>
      </c>
      <c r="H70" s="14" t="s">
        <v>444</v>
      </c>
      <c r="I70" s="14" t="s">
        <v>444</v>
      </c>
      <c r="J70" s="14" t="s">
        <v>444</v>
      </c>
      <c r="K70" s="14" t="s">
        <v>444</v>
      </c>
      <c r="L70" s="14" t="s">
        <v>444</v>
      </c>
      <c r="M70" s="14" t="s">
        <v>444</v>
      </c>
      <c r="N70" s="15" t="s">
        <v>445</v>
      </c>
      <c r="O70" s="14" t="s">
        <v>449</v>
      </c>
      <c r="P70" s="18"/>
    </row>
    <row r="71" spans="1:16" ht="42" customHeight="1">
      <c r="A71" s="5">
        <v>69</v>
      </c>
      <c r="B71" s="4">
        <v>28729836</v>
      </c>
      <c r="C71" s="50" t="s">
        <v>643</v>
      </c>
      <c r="D71" s="10" t="s">
        <v>441</v>
      </c>
      <c r="E71" s="10" t="s">
        <v>441</v>
      </c>
      <c r="F71" s="8" t="s">
        <v>442</v>
      </c>
      <c r="G71" s="14" t="s">
        <v>644</v>
      </c>
      <c r="H71" s="14" t="s">
        <v>444</v>
      </c>
      <c r="I71" s="8" t="s">
        <v>444</v>
      </c>
      <c r="J71" s="8" t="s">
        <v>444</v>
      </c>
      <c r="K71" s="8" t="s">
        <v>444</v>
      </c>
      <c r="L71" s="8" t="s">
        <v>444</v>
      </c>
      <c r="M71" s="8" t="s">
        <v>444</v>
      </c>
      <c r="N71" s="15" t="s">
        <v>445</v>
      </c>
      <c r="O71" s="14" t="s">
        <v>645</v>
      </c>
      <c r="P71" s="18"/>
    </row>
    <row r="72" spans="1:16" ht="42" customHeight="1">
      <c r="A72" s="5">
        <v>70</v>
      </c>
      <c r="B72" s="4">
        <v>37447309</v>
      </c>
      <c r="C72" s="50" t="s">
        <v>646</v>
      </c>
      <c r="D72" s="10" t="s">
        <v>441</v>
      </c>
      <c r="E72" s="10" t="s">
        <v>441</v>
      </c>
      <c r="F72" s="8" t="s">
        <v>442</v>
      </c>
      <c r="G72" s="14" t="s">
        <v>647</v>
      </c>
      <c r="H72" s="14" t="s">
        <v>444</v>
      </c>
      <c r="I72" s="8" t="s">
        <v>444</v>
      </c>
      <c r="J72" s="8" t="s">
        <v>444</v>
      </c>
      <c r="K72" s="8" t="s">
        <v>444</v>
      </c>
      <c r="L72" s="8" t="s">
        <v>444</v>
      </c>
      <c r="M72" s="8" t="s">
        <v>444</v>
      </c>
      <c r="N72" s="15" t="s">
        <v>445</v>
      </c>
      <c r="O72" s="14" t="s">
        <v>648</v>
      </c>
      <c r="P72" s="18"/>
    </row>
    <row r="73" spans="1:16" ht="42" customHeight="1">
      <c r="A73" s="5">
        <v>71</v>
      </c>
      <c r="B73" s="4">
        <v>35071855</v>
      </c>
      <c r="C73" s="50" t="s">
        <v>649</v>
      </c>
      <c r="D73" s="10" t="s">
        <v>441</v>
      </c>
      <c r="E73" s="10" t="s">
        <v>441</v>
      </c>
      <c r="F73" s="8" t="s">
        <v>478</v>
      </c>
      <c r="G73" s="16" t="s">
        <v>650</v>
      </c>
      <c r="H73" s="14" t="s">
        <v>448</v>
      </c>
      <c r="I73" s="14" t="s">
        <v>651</v>
      </c>
      <c r="J73" s="8" t="s">
        <v>444</v>
      </c>
      <c r="K73" s="8" t="s">
        <v>444</v>
      </c>
      <c r="L73" s="8" t="s">
        <v>444</v>
      </c>
      <c r="M73" s="8" t="s">
        <v>444</v>
      </c>
      <c r="N73" s="15" t="s">
        <v>445</v>
      </c>
      <c r="O73" s="14" t="s">
        <v>652</v>
      </c>
      <c r="P73" s="18"/>
    </row>
    <row r="74" spans="1:16" ht="42" customHeight="1">
      <c r="A74" s="5">
        <v>72</v>
      </c>
      <c r="B74" s="4">
        <v>38362130</v>
      </c>
      <c r="C74" s="50" t="s">
        <v>653</v>
      </c>
      <c r="D74" s="10" t="s">
        <v>448</v>
      </c>
      <c r="E74" s="10" t="s">
        <v>444</v>
      </c>
      <c r="F74" s="14" t="s">
        <v>444</v>
      </c>
      <c r="G74" s="14" t="s">
        <v>444</v>
      </c>
      <c r="H74" s="14" t="s">
        <v>444</v>
      </c>
      <c r="I74" s="14" t="s">
        <v>444</v>
      </c>
      <c r="J74" s="14" t="s">
        <v>444</v>
      </c>
      <c r="K74" s="14" t="s">
        <v>444</v>
      </c>
      <c r="L74" s="14" t="s">
        <v>444</v>
      </c>
      <c r="M74" s="14" t="s">
        <v>444</v>
      </c>
      <c r="N74" s="15" t="s">
        <v>445</v>
      </c>
      <c r="O74" s="14" t="s">
        <v>449</v>
      </c>
      <c r="P74" s="18"/>
    </row>
    <row r="75" spans="1:16" ht="42" customHeight="1">
      <c r="A75" s="5">
        <v>73</v>
      </c>
      <c r="B75" s="4">
        <v>33553233</v>
      </c>
      <c r="C75" s="50" t="s">
        <v>654</v>
      </c>
      <c r="D75" s="10" t="s">
        <v>441</v>
      </c>
      <c r="E75" s="10" t="s">
        <v>441</v>
      </c>
      <c r="F75" s="8" t="s">
        <v>478</v>
      </c>
      <c r="G75" s="16" t="s">
        <v>655</v>
      </c>
      <c r="H75" s="8" t="s">
        <v>441</v>
      </c>
      <c r="I75" s="12" t="s">
        <v>656</v>
      </c>
      <c r="J75" s="12" t="s">
        <v>441</v>
      </c>
      <c r="K75" s="12" t="s">
        <v>657</v>
      </c>
      <c r="L75" s="12" t="s">
        <v>658</v>
      </c>
      <c r="M75" s="12" t="s">
        <v>659</v>
      </c>
      <c r="N75" s="13" t="s">
        <v>484</v>
      </c>
      <c r="O75" s="16" t="s">
        <v>660</v>
      </c>
      <c r="P75" s="18"/>
    </row>
    <row r="76" spans="1:16" ht="42" customHeight="1">
      <c r="A76" s="5">
        <v>74</v>
      </c>
      <c r="B76" s="4">
        <v>38145747</v>
      </c>
      <c r="C76" s="50" t="s">
        <v>661</v>
      </c>
      <c r="D76" s="10" t="s">
        <v>441</v>
      </c>
      <c r="E76" s="10" t="s">
        <v>441</v>
      </c>
      <c r="F76" s="8" t="s">
        <v>442</v>
      </c>
      <c r="G76" s="14" t="s">
        <v>662</v>
      </c>
      <c r="H76" s="14" t="s">
        <v>444</v>
      </c>
      <c r="I76" s="8" t="s">
        <v>444</v>
      </c>
      <c r="J76" s="8" t="s">
        <v>444</v>
      </c>
      <c r="K76" s="8" t="s">
        <v>444</v>
      </c>
      <c r="L76" s="8" t="s">
        <v>444</v>
      </c>
      <c r="M76" s="8" t="s">
        <v>444</v>
      </c>
      <c r="N76" s="15" t="s">
        <v>445</v>
      </c>
      <c r="O76" s="14" t="s">
        <v>663</v>
      </c>
      <c r="P76" s="18"/>
    </row>
    <row r="77" spans="1:16" ht="42" customHeight="1">
      <c r="A77" s="5">
        <v>75</v>
      </c>
      <c r="B77" s="4">
        <v>33639251</v>
      </c>
      <c r="C77" s="50" t="s">
        <v>664</v>
      </c>
      <c r="D77" s="10" t="s">
        <v>441</v>
      </c>
      <c r="E77" s="10" t="s">
        <v>441</v>
      </c>
      <c r="F77" s="8" t="s">
        <v>442</v>
      </c>
      <c r="G77" s="14" t="s">
        <v>665</v>
      </c>
      <c r="H77" s="14" t="s">
        <v>444</v>
      </c>
      <c r="I77" s="8" t="s">
        <v>444</v>
      </c>
      <c r="J77" s="8" t="s">
        <v>444</v>
      </c>
      <c r="K77" s="8" t="s">
        <v>444</v>
      </c>
      <c r="L77" s="8" t="s">
        <v>444</v>
      </c>
      <c r="M77" s="8" t="s">
        <v>444</v>
      </c>
      <c r="N77" s="15" t="s">
        <v>445</v>
      </c>
      <c r="O77" s="14" t="s">
        <v>666</v>
      </c>
      <c r="P77" s="18"/>
    </row>
    <row r="78" spans="1:16" ht="42" customHeight="1">
      <c r="A78" s="5">
        <v>76</v>
      </c>
      <c r="B78" s="4">
        <v>29917280</v>
      </c>
      <c r="C78" s="50" t="s">
        <v>667</v>
      </c>
      <c r="D78" s="10" t="s">
        <v>441</v>
      </c>
      <c r="E78" s="10" t="s">
        <v>441</v>
      </c>
      <c r="F78" s="8" t="s">
        <v>478</v>
      </c>
      <c r="G78" s="16" t="s">
        <v>668</v>
      </c>
      <c r="H78" s="8" t="s">
        <v>441</v>
      </c>
      <c r="I78" s="16" t="s">
        <v>669</v>
      </c>
      <c r="J78" s="12" t="s">
        <v>441</v>
      </c>
      <c r="K78" s="16" t="s">
        <v>670</v>
      </c>
      <c r="L78" s="12" t="s">
        <v>671</v>
      </c>
      <c r="M78" s="12" t="s">
        <v>672</v>
      </c>
      <c r="N78" s="13" t="s">
        <v>484</v>
      </c>
      <c r="O78" s="16" t="s">
        <v>673</v>
      </c>
      <c r="P78" s="18"/>
    </row>
    <row r="79" spans="1:16" ht="28" customHeight="1">
      <c r="A79" s="5">
        <v>77</v>
      </c>
      <c r="B79" s="4">
        <v>30191399</v>
      </c>
      <c r="C79" s="50" t="s">
        <v>674</v>
      </c>
      <c r="D79" s="10" t="s">
        <v>441</v>
      </c>
      <c r="E79" s="10" t="s">
        <v>441</v>
      </c>
      <c r="F79" s="8" t="s">
        <v>478</v>
      </c>
      <c r="G79" s="16" t="s">
        <v>675</v>
      </c>
      <c r="H79" s="8" t="s">
        <v>441</v>
      </c>
      <c r="I79" s="16" t="s">
        <v>676</v>
      </c>
      <c r="J79" s="14" t="s">
        <v>448</v>
      </c>
      <c r="K79" s="14" t="s">
        <v>677</v>
      </c>
      <c r="L79" s="14" t="s">
        <v>444</v>
      </c>
      <c r="M79" s="14" t="s">
        <v>444</v>
      </c>
      <c r="N79" s="27" t="s">
        <v>445</v>
      </c>
      <c r="O79" s="14" t="s">
        <v>678</v>
      </c>
      <c r="P79" s="18"/>
    </row>
    <row r="80" spans="1:16" ht="56" customHeight="1">
      <c r="A80" s="5">
        <v>78</v>
      </c>
      <c r="B80" s="4">
        <v>40509055</v>
      </c>
      <c r="C80" s="50" t="s">
        <v>679</v>
      </c>
      <c r="D80" s="10" t="s">
        <v>441</v>
      </c>
      <c r="E80" s="10" t="s">
        <v>441</v>
      </c>
      <c r="F80" s="8" t="s">
        <v>478</v>
      </c>
      <c r="G80" s="16" t="s">
        <v>680</v>
      </c>
      <c r="H80" s="14" t="s">
        <v>448</v>
      </c>
      <c r="I80" s="14" t="s">
        <v>681</v>
      </c>
      <c r="J80" s="8" t="s">
        <v>444</v>
      </c>
      <c r="K80" s="8" t="s">
        <v>444</v>
      </c>
      <c r="L80" s="8" t="s">
        <v>444</v>
      </c>
      <c r="M80" s="8" t="s">
        <v>444</v>
      </c>
      <c r="N80" s="27" t="s">
        <v>445</v>
      </c>
      <c r="O80" s="14" t="s">
        <v>682</v>
      </c>
      <c r="P80" s="18"/>
    </row>
    <row r="81" spans="1:16" ht="42" customHeight="1">
      <c r="A81" s="5">
        <v>79</v>
      </c>
      <c r="B81" s="4">
        <v>40041712</v>
      </c>
      <c r="C81" s="50" t="s">
        <v>683</v>
      </c>
      <c r="D81" s="10" t="s">
        <v>448</v>
      </c>
      <c r="E81" s="10" t="s">
        <v>444</v>
      </c>
      <c r="F81" s="14" t="s">
        <v>444</v>
      </c>
      <c r="G81" s="14" t="s">
        <v>444</v>
      </c>
      <c r="H81" s="14" t="s">
        <v>444</v>
      </c>
      <c r="I81" s="14" t="s">
        <v>444</v>
      </c>
      <c r="J81" s="14" t="s">
        <v>444</v>
      </c>
      <c r="K81" s="14" t="s">
        <v>444</v>
      </c>
      <c r="L81" s="14" t="s">
        <v>444</v>
      </c>
      <c r="M81" s="14" t="s">
        <v>444</v>
      </c>
      <c r="N81" s="15" t="s">
        <v>445</v>
      </c>
      <c r="O81" s="14" t="s">
        <v>449</v>
      </c>
      <c r="P81" s="18"/>
    </row>
    <row r="82" spans="1:16" ht="84" customHeight="1">
      <c r="A82" s="5">
        <v>80</v>
      </c>
      <c r="B82" s="5">
        <v>32517954</v>
      </c>
      <c r="C82" s="50" t="s">
        <v>684</v>
      </c>
      <c r="D82" s="10" t="s">
        <v>441</v>
      </c>
      <c r="E82" s="10" t="s">
        <v>441</v>
      </c>
      <c r="F82" s="8" t="s">
        <v>478</v>
      </c>
      <c r="G82" s="16" t="s">
        <v>685</v>
      </c>
      <c r="H82" s="8" t="s">
        <v>441</v>
      </c>
      <c r="I82" s="16" t="s">
        <v>686</v>
      </c>
      <c r="J82" s="12" t="s">
        <v>441</v>
      </c>
      <c r="K82" s="16" t="s">
        <v>687</v>
      </c>
      <c r="L82" s="14" t="s">
        <v>688</v>
      </c>
      <c r="M82" s="14" t="s">
        <v>689</v>
      </c>
      <c r="N82" s="27" t="s">
        <v>445</v>
      </c>
      <c r="O82" s="14" t="s">
        <v>690</v>
      </c>
      <c r="P82" s="18"/>
    </row>
    <row r="83" spans="1:16" ht="56" customHeight="1">
      <c r="A83" s="5">
        <v>81</v>
      </c>
      <c r="B83" s="4">
        <v>39791583</v>
      </c>
      <c r="C83" s="50" t="s">
        <v>691</v>
      </c>
      <c r="D83" s="10" t="s">
        <v>441</v>
      </c>
      <c r="E83" s="10" t="s">
        <v>441</v>
      </c>
      <c r="F83" s="8" t="s">
        <v>478</v>
      </c>
      <c r="G83" s="16" t="s">
        <v>692</v>
      </c>
      <c r="H83" s="14" t="s">
        <v>448</v>
      </c>
      <c r="I83" s="14" t="s">
        <v>693</v>
      </c>
      <c r="J83" s="8" t="s">
        <v>444</v>
      </c>
      <c r="K83" s="8" t="s">
        <v>444</v>
      </c>
      <c r="L83" s="8" t="s">
        <v>444</v>
      </c>
      <c r="M83" s="8" t="s">
        <v>444</v>
      </c>
      <c r="N83" s="27" t="s">
        <v>445</v>
      </c>
      <c r="O83" s="14" t="s">
        <v>694</v>
      </c>
      <c r="P83" s="18"/>
    </row>
    <row r="84" spans="1:16" ht="28" customHeight="1">
      <c r="A84" s="5">
        <v>82</v>
      </c>
      <c r="B84" s="4">
        <v>21298562</v>
      </c>
      <c r="C84" s="50" t="s">
        <v>695</v>
      </c>
      <c r="D84" s="10" t="s">
        <v>441</v>
      </c>
      <c r="E84" s="10" t="s">
        <v>441</v>
      </c>
      <c r="F84" s="8" t="s">
        <v>442</v>
      </c>
      <c r="G84" s="14" t="s">
        <v>696</v>
      </c>
      <c r="H84" s="14" t="s">
        <v>444</v>
      </c>
      <c r="I84" s="8" t="s">
        <v>444</v>
      </c>
      <c r="J84" s="8" t="s">
        <v>444</v>
      </c>
      <c r="K84" s="8" t="s">
        <v>444</v>
      </c>
      <c r="L84" s="8" t="s">
        <v>444</v>
      </c>
      <c r="M84" s="8" t="s">
        <v>444</v>
      </c>
      <c r="N84" s="15" t="s">
        <v>445</v>
      </c>
      <c r="O84" s="14" t="s">
        <v>697</v>
      </c>
      <c r="P84" s="18"/>
    </row>
    <row r="85" spans="1:16" ht="42" customHeight="1">
      <c r="A85" s="5">
        <v>83</v>
      </c>
      <c r="B85" s="5">
        <v>36068248</v>
      </c>
      <c r="C85" s="50" t="s">
        <v>698</v>
      </c>
      <c r="D85" s="10" t="s">
        <v>441</v>
      </c>
      <c r="E85" s="10" t="s">
        <v>441</v>
      </c>
      <c r="F85" s="8" t="s">
        <v>478</v>
      </c>
      <c r="G85" s="16" t="s">
        <v>699</v>
      </c>
      <c r="H85" s="8" t="s">
        <v>441</v>
      </c>
      <c r="I85" s="16" t="s">
        <v>700</v>
      </c>
      <c r="J85" s="14" t="s">
        <v>448</v>
      </c>
      <c r="K85" s="14" t="s">
        <v>701</v>
      </c>
      <c r="L85" s="8" t="s">
        <v>444</v>
      </c>
      <c r="M85" s="8" t="s">
        <v>444</v>
      </c>
      <c r="N85" s="27" t="s">
        <v>445</v>
      </c>
      <c r="O85" s="14" t="s">
        <v>702</v>
      </c>
      <c r="P85" s="18"/>
    </row>
    <row r="86" spans="1:16" ht="42" customHeight="1">
      <c r="A86" s="5">
        <v>84</v>
      </c>
      <c r="B86" s="4">
        <v>30276593</v>
      </c>
      <c r="C86" s="50" t="s">
        <v>231</v>
      </c>
      <c r="D86" s="10" t="s">
        <v>441</v>
      </c>
      <c r="E86" s="10" t="s">
        <v>441</v>
      </c>
      <c r="F86" s="8" t="s">
        <v>478</v>
      </c>
      <c r="G86" s="16" t="s">
        <v>703</v>
      </c>
      <c r="H86" s="8" t="s">
        <v>441</v>
      </c>
      <c r="I86" s="12" t="s">
        <v>704</v>
      </c>
      <c r="J86" s="12" t="s">
        <v>441</v>
      </c>
      <c r="K86" s="12" t="s">
        <v>705</v>
      </c>
      <c r="L86" s="12" t="s">
        <v>706</v>
      </c>
      <c r="M86" s="12" t="s">
        <v>707</v>
      </c>
      <c r="N86" s="13" t="s">
        <v>484</v>
      </c>
      <c r="O86" s="16" t="s">
        <v>708</v>
      </c>
      <c r="P86" s="18"/>
    </row>
    <row r="87" spans="1:16" ht="28" customHeight="1">
      <c r="A87" s="5">
        <v>85</v>
      </c>
      <c r="B87" s="5">
        <v>35206026</v>
      </c>
      <c r="C87" s="50" t="s">
        <v>709</v>
      </c>
      <c r="D87" s="10" t="s">
        <v>441</v>
      </c>
      <c r="E87" s="10" t="s">
        <v>441</v>
      </c>
      <c r="F87" s="8" t="s">
        <v>478</v>
      </c>
      <c r="G87" s="16" t="s">
        <v>710</v>
      </c>
      <c r="H87" s="8" t="s">
        <v>441</v>
      </c>
      <c r="I87" s="16" t="s">
        <v>711</v>
      </c>
      <c r="J87" s="14" t="s">
        <v>448</v>
      </c>
      <c r="K87" s="14" t="s">
        <v>712</v>
      </c>
      <c r="L87" s="8" t="s">
        <v>444</v>
      </c>
      <c r="M87" s="8" t="s">
        <v>444</v>
      </c>
      <c r="N87" s="27" t="s">
        <v>445</v>
      </c>
      <c r="O87" s="14" t="s">
        <v>713</v>
      </c>
      <c r="P87" s="18"/>
    </row>
    <row r="88" spans="1:16" ht="28" customHeight="1">
      <c r="A88" s="5">
        <v>86</v>
      </c>
      <c r="B88" s="4">
        <v>22093965</v>
      </c>
      <c r="C88" s="50" t="s">
        <v>714</v>
      </c>
      <c r="D88" s="10" t="s">
        <v>441</v>
      </c>
      <c r="E88" s="10" t="s">
        <v>441</v>
      </c>
      <c r="F88" s="8" t="s">
        <v>442</v>
      </c>
      <c r="G88" s="14" t="s">
        <v>715</v>
      </c>
      <c r="H88" s="14" t="s">
        <v>444</v>
      </c>
      <c r="I88" s="8" t="s">
        <v>444</v>
      </c>
      <c r="J88" s="8" t="s">
        <v>444</v>
      </c>
      <c r="K88" s="8" t="s">
        <v>444</v>
      </c>
      <c r="L88" s="8" t="s">
        <v>444</v>
      </c>
      <c r="M88" s="8" t="s">
        <v>444</v>
      </c>
      <c r="N88" s="15" t="s">
        <v>445</v>
      </c>
      <c r="O88" s="14" t="s">
        <v>716</v>
      </c>
      <c r="P88" s="18"/>
    </row>
    <row r="89" spans="1:16" ht="56" customHeight="1">
      <c r="A89" s="5">
        <v>87</v>
      </c>
      <c r="B89" s="5">
        <v>35439011</v>
      </c>
      <c r="C89" s="50" t="s">
        <v>717</v>
      </c>
      <c r="D89" s="10" t="s">
        <v>441</v>
      </c>
      <c r="E89" s="10" t="s">
        <v>441</v>
      </c>
      <c r="F89" s="8" t="s">
        <v>478</v>
      </c>
      <c r="G89" s="16" t="s">
        <v>718</v>
      </c>
      <c r="H89" s="8" t="s">
        <v>441</v>
      </c>
      <c r="I89" s="16" t="s">
        <v>719</v>
      </c>
      <c r="J89" s="14" t="s">
        <v>448</v>
      </c>
      <c r="K89" s="14" t="s">
        <v>720</v>
      </c>
      <c r="L89" s="8" t="s">
        <v>444</v>
      </c>
      <c r="M89" s="8" t="s">
        <v>444</v>
      </c>
      <c r="N89" s="27" t="s">
        <v>445</v>
      </c>
      <c r="O89" s="14" t="s">
        <v>721</v>
      </c>
      <c r="P89" s="18"/>
    </row>
    <row r="90" spans="1:16" ht="28" customHeight="1">
      <c r="A90" s="5">
        <v>88</v>
      </c>
      <c r="B90" s="4">
        <v>28933401</v>
      </c>
      <c r="C90" s="50" t="s">
        <v>722</v>
      </c>
      <c r="D90" s="10" t="s">
        <v>441</v>
      </c>
      <c r="E90" s="10" t="s">
        <v>441</v>
      </c>
      <c r="F90" s="8" t="s">
        <v>478</v>
      </c>
      <c r="G90" s="16" t="s">
        <v>723</v>
      </c>
      <c r="H90" s="14" t="s">
        <v>448</v>
      </c>
      <c r="I90" s="14" t="s">
        <v>724</v>
      </c>
      <c r="J90" s="8" t="s">
        <v>444</v>
      </c>
      <c r="K90" s="8" t="s">
        <v>444</v>
      </c>
      <c r="L90" s="8" t="s">
        <v>444</v>
      </c>
      <c r="M90" s="8" t="s">
        <v>444</v>
      </c>
      <c r="N90" s="15" t="s">
        <v>445</v>
      </c>
      <c r="O90" s="14" t="s">
        <v>725</v>
      </c>
      <c r="P90" s="18"/>
    </row>
    <row r="91" spans="1:16" ht="42" customHeight="1">
      <c r="A91" s="5">
        <v>89</v>
      </c>
      <c r="B91" s="4">
        <v>37999498</v>
      </c>
      <c r="C91" s="50" t="s">
        <v>726</v>
      </c>
      <c r="D91" s="10" t="s">
        <v>441</v>
      </c>
      <c r="E91" s="10" t="s">
        <v>441</v>
      </c>
      <c r="F91" s="8" t="s">
        <v>478</v>
      </c>
      <c r="G91" s="16" t="s">
        <v>727</v>
      </c>
      <c r="H91" s="14" t="s">
        <v>448</v>
      </c>
      <c r="I91" s="14" t="s">
        <v>728</v>
      </c>
      <c r="J91" s="8" t="s">
        <v>444</v>
      </c>
      <c r="K91" s="8" t="s">
        <v>444</v>
      </c>
      <c r="L91" s="8" t="s">
        <v>444</v>
      </c>
      <c r="M91" s="8" t="s">
        <v>444</v>
      </c>
      <c r="N91" s="27" t="s">
        <v>445</v>
      </c>
      <c r="O91" s="14" t="s">
        <v>729</v>
      </c>
      <c r="P91" s="18"/>
    </row>
    <row r="92" spans="1:16" ht="42" customHeight="1">
      <c r="A92" s="5">
        <v>90</v>
      </c>
      <c r="B92" s="4">
        <v>31679236</v>
      </c>
      <c r="C92" s="50" t="s">
        <v>730</v>
      </c>
      <c r="D92" s="10" t="s">
        <v>441</v>
      </c>
      <c r="E92" s="10" t="s">
        <v>441</v>
      </c>
      <c r="F92" s="8" t="s">
        <v>442</v>
      </c>
      <c r="G92" s="14" t="s">
        <v>731</v>
      </c>
      <c r="H92" s="14" t="s">
        <v>444</v>
      </c>
      <c r="I92" s="8" t="s">
        <v>444</v>
      </c>
      <c r="J92" s="8" t="s">
        <v>444</v>
      </c>
      <c r="K92" s="8" t="s">
        <v>444</v>
      </c>
      <c r="L92" s="8" t="s">
        <v>444</v>
      </c>
      <c r="M92" s="8" t="s">
        <v>444</v>
      </c>
      <c r="N92" s="15" t="s">
        <v>445</v>
      </c>
      <c r="O92" s="14" t="s">
        <v>732</v>
      </c>
      <c r="P92" s="18"/>
    </row>
    <row r="93" spans="1:16" ht="42" customHeight="1">
      <c r="A93" s="5">
        <v>91</v>
      </c>
      <c r="B93" s="4">
        <v>31143299</v>
      </c>
      <c r="C93" s="50" t="s">
        <v>733</v>
      </c>
      <c r="D93" s="10" t="s">
        <v>441</v>
      </c>
      <c r="E93" s="10" t="s">
        <v>441</v>
      </c>
      <c r="F93" s="8" t="s">
        <v>442</v>
      </c>
      <c r="G93" s="14" t="s">
        <v>734</v>
      </c>
      <c r="H93" s="14" t="s">
        <v>444</v>
      </c>
      <c r="I93" s="8" t="s">
        <v>444</v>
      </c>
      <c r="J93" s="8" t="s">
        <v>444</v>
      </c>
      <c r="K93" s="8" t="s">
        <v>444</v>
      </c>
      <c r="L93" s="8" t="s">
        <v>444</v>
      </c>
      <c r="M93" s="8" t="s">
        <v>444</v>
      </c>
      <c r="N93" s="15" t="s">
        <v>445</v>
      </c>
      <c r="O93" s="14" t="s">
        <v>735</v>
      </c>
      <c r="P93" s="18"/>
    </row>
    <row r="94" spans="1:16" ht="28" customHeight="1">
      <c r="A94" s="5">
        <v>92</v>
      </c>
      <c r="B94" s="4">
        <v>36590855</v>
      </c>
      <c r="C94" s="50" t="s">
        <v>736</v>
      </c>
      <c r="D94" s="10" t="s">
        <v>441</v>
      </c>
      <c r="E94" s="10" t="s">
        <v>441</v>
      </c>
      <c r="F94" s="8" t="s">
        <v>478</v>
      </c>
      <c r="G94" s="16" t="s">
        <v>737</v>
      </c>
      <c r="H94" s="8" t="s">
        <v>448</v>
      </c>
      <c r="I94" s="14" t="s">
        <v>738</v>
      </c>
      <c r="J94" s="8" t="s">
        <v>444</v>
      </c>
      <c r="K94" s="8" t="s">
        <v>444</v>
      </c>
      <c r="L94" s="8" t="s">
        <v>444</v>
      </c>
      <c r="M94" s="8" t="s">
        <v>444</v>
      </c>
      <c r="N94" s="27" t="s">
        <v>445</v>
      </c>
      <c r="O94" s="14" t="s">
        <v>739</v>
      </c>
      <c r="P94" s="18"/>
    </row>
    <row r="95" spans="1:16" ht="56" customHeight="1">
      <c r="A95" s="5">
        <v>93</v>
      </c>
      <c r="B95" s="5">
        <v>29989058</v>
      </c>
      <c r="C95" s="50" t="s">
        <v>740</v>
      </c>
      <c r="D95" s="10" t="s">
        <v>441</v>
      </c>
      <c r="E95" s="10" t="s">
        <v>441</v>
      </c>
      <c r="F95" s="8" t="s">
        <v>478</v>
      </c>
      <c r="G95" s="16" t="s">
        <v>741</v>
      </c>
      <c r="H95" s="8" t="s">
        <v>441</v>
      </c>
      <c r="I95" s="16" t="s">
        <v>742</v>
      </c>
      <c r="J95" s="12" t="s">
        <v>441</v>
      </c>
      <c r="K95" s="16" t="s">
        <v>743</v>
      </c>
      <c r="L95" s="14" t="s">
        <v>688</v>
      </c>
      <c r="M95" s="14" t="s">
        <v>689</v>
      </c>
      <c r="N95" s="27" t="s">
        <v>445</v>
      </c>
      <c r="O95" s="14" t="s">
        <v>744</v>
      </c>
      <c r="P95" s="18"/>
    </row>
    <row r="96" spans="1:16" ht="42" customHeight="1">
      <c r="A96" s="5">
        <v>94</v>
      </c>
      <c r="B96" s="4">
        <v>37338066</v>
      </c>
      <c r="C96" s="50" t="s">
        <v>745</v>
      </c>
      <c r="D96" s="10" t="s">
        <v>448</v>
      </c>
      <c r="E96" s="10" t="s">
        <v>444</v>
      </c>
      <c r="F96" s="14" t="s">
        <v>444</v>
      </c>
      <c r="G96" s="14" t="s">
        <v>444</v>
      </c>
      <c r="H96" s="14" t="s">
        <v>444</v>
      </c>
      <c r="I96" s="14" t="s">
        <v>444</v>
      </c>
      <c r="J96" s="14" t="s">
        <v>444</v>
      </c>
      <c r="K96" s="14" t="s">
        <v>444</v>
      </c>
      <c r="L96" s="14" t="s">
        <v>444</v>
      </c>
      <c r="M96" s="14" t="s">
        <v>444</v>
      </c>
      <c r="N96" s="15" t="s">
        <v>445</v>
      </c>
      <c r="O96" s="14" t="s">
        <v>449</v>
      </c>
      <c r="P96" s="18"/>
    </row>
    <row r="97" spans="1:16" ht="42" customHeight="1">
      <c r="A97" s="5">
        <v>95</v>
      </c>
      <c r="B97" s="4">
        <v>38767618</v>
      </c>
      <c r="C97" s="50" t="s">
        <v>746</v>
      </c>
      <c r="D97" s="10" t="s">
        <v>448</v>
      </c>
      <c r="E97" s="10" t="s">
        <v>444</v>
      </c>
      <c r="F97" s="14" t="s">
        <v>444</v>
      </c>
      <c r="G97" s="14" t="s">
        <v>444</v>
      </c>
      <c r="H97" s="14" t="s">
        <v>444</v>
      </c>
      <c r="I97" s="14" t="s">
        <v>444</v>
      </c>
      <c r="J97" s="14" t="s">
        <v>444</v>
      </c>
      <c r="K97" s="14" t="s">
        <v>444</v>
      </c>
      <c r="L97" s="14" t="s">
        <v>444</v>
      </c>
      <c r="M97" s="14" t="s">
        <v>444</v>
      </c>
      <c r="N97" s="15" t="s">
        <v>445</v>
      </c>
      <c r="O97" s="14" t="s">
        <v>449</v>
      </c>
      <c r="P97" s="18"/>
    </row>
    <row r="98" spans="1:16" ht="42" customHeight="1">
      <c r="A98" s="5">
        <v>96</v>
      </c>
      <c r="B98" s="5">
        <v>20554184</v>
      </c>
      <c r="C98" s="50" t="s">
        <v>747</v>
      </c>
      <c r="D98" s="10" t="s">
        <v>441</v>
      </c>
      <c r="E98" s="10" t="s">
        <v>441</v>
      </c>
      <c r="F98" s="8" t="s">
        <v>478</v>
      </c>
      <c r="G98" s="16" t="s">
        <v>748</v>
      </c>
      <c r="H98" s="8" t="s">
        <v>441</v>
      </c>
      <c r="I98" s="16" t="s">
        <v>749</v>
      </c>
      <c r="J98" s="12" t="s">
        <v>441</v>
      </c>
      <c r="K98" s="16" t="s">
        <v>750</v>
      </c>
      <c r="L98" s="14" t="s">
        <v>688</v>
      </c>
      <c r="M98" s="14" t="s">
        <v>751</v>
      </c>
      <c r="N98" s="27" t="s">
        <v>445</v>
      </c>
      <c r="O98" s="14" t="s">
        <v>752</v>
      </c>
      <c r="P98" s="18"/>
    </row>
    <row r="99" spans="1:16" ht="42" customHeight="1">
      <c r="A99" s="5">
        <v>97</v>
      </c>
      <c r="B99" s="5">
        <v>36730137</v>
      </c>
      <c r="C99" s="50" t="s">
        <v>753</v>
      </c>
      <c r="D99" s="10" t="s">
        <v>441</v>
      </c>
      <c r="E99" s="10" t="s">
        <v>441</v>
      </c>
      <c r="F99" s="8" t="s">
        <v>478</v>
      </c>
      <c r="G99" s="16" t="s">
        <v>754</v>
      </c>
      <c r="H99" s="8" t="s">
        <v>441</v>
      </c>
      <c r="I99" s="16" t="s">
        <v>755</v>
      </c>
      <c r="J99" s="14" t="s">
        <v>448</v>
      </c>
      <c r="K99" s="14" t="s">
        <v>756</v>
      </c>
      <c r="L99" s="8" t="s">
        <v>444</v>
      </c>
      <c r="M99" s="8" t="s">
        <v>444</v>
      </c>
      <c r="N99" s="27" t="s">
        <v>445</v>
      </c>
      <c r="O99" s="14" t="s">
        <v>757</v>
      </c>
      <c r="P99" s="18"/>
    </row>
    <row r="100" spans="1:16" ht="42" customHeight="1">
      <c r="A100" s="5">
        <v>98</v>
      </c>
      <c r="B100" s="4">
        <v>36364121</v>
      </c>
      <c r="C100" s="50" t="s">
        <v>758</v>
      </c>
      <c r="D100" s="10" t="s">
        <v>441</v>
      </c>
      <c r="E100" s="10" t="s">
        <v>441</v>
      </c>
      <c r="F100" s="8" t="s">
        <v>442</v>
      </c>
      <c r="G100" s="14" t="s">
        <v>759</v>
      </c>
      <c r="H100" s="14" t="s">
        <v>444</v>
      </c>
      <c r="I100" s="8" t="s">
        <v>444</v>
      </c>
      <c r="J100" s="8" t="s">
        <v>444</v>
      </c>
      <c r="K100" s="8" t="s">
        <v>444</v>
      </c>
      <c r="L100" s="8" t="s">
        <v>444</v>
      </c>
      <c r="M100" s="8" t="s">
        <v>444</v>
      </c>
      <c r="N100" s="15" t="s">
        <v>445</v>
      </c>
      <c r="O100" s="14" t="s">
        <v>760</v>
      </c>
      <c r="P100" s="18"/>
    </row>
    <row r="101" spans="1:16" ht="42" customHeight="1">
      <c r="A101" s="5">
        <v>99</v>
      </c>
      <c r="B101" s="4">
        <v>30603255</v>
      </c>
      <c r="C101" s="50" t="s">
        <v>333</v>
      </c>
      <c r="D101" s="10" t="s">
        <v>441</v>
      </c>
      <c r="E101" s="10" t="s">
        <v>441</v>
      </c>
      <c r="F101" s="8" t="s">
        <v>478</v>
      </c>
      <c r="G101" s="16" t="s">
        <v>761</v>
      </c>
      <c r="H101" s="8" t="s">
        <v>441</v>
      </c>
      <c r="I101" s="12" t="s">
        <v>762</v>
      </c>
      <c r="J101" s="12" t="s">
        <v>441</v>
      </c>
      <c r="K101" s="12" t="s">
        <v>763</v>
      </c>
      <c r="L101" s="12" t="s">
        <v>619</v>
      </c>
      <c r="M101" s="12" t="s">
        <v>764</v>
      </c>
      <c r="N101" s="13" t="s">
        <v>484</v>
      </c>
      <c r="O101" s="16" t="s">
        <v>765</v>
      </c>
      <c r="P101" s="18"/>
    </row>
    <row r="102" spans="1:16" ht="42" customHeight="1">
      <c r="A102" s="5">
        <v>100</v>
      </c>
      <c r="B102" s="4">
        <v>37986193</v>
      </c>
      <c r="C102" s="50" t="s">
        <v>766</v>
      </c>
      <c r="D102" s="10" t="s">
        <v>441</v>
      </c>
      <c r="E102" s="10" t="s">
        <v>441</v>
      </c>
      <c r="F102" s="8" t="s">
        <v>478</v>
      </c>
      <c r="G102" s="16" t="s">
        <v>767</v>
      </c>
      <c r="H102" s="8" t="s">
        <v>448</v>
      </c>
      <c r="I102" s="14" t="s">
        <v>768</v>
      </c>
      <c r="J102" s="14" t="s">
        <v>444</v>
      </c>
      <c r="K102" s="14" t="s">
        <v>444</v>
      </c>
      <c r="L102" s="14" t="s">
        <v>444</v>
      </c>
      <c r="M102" s="14" t="s">
        <v>444</v>
      </c>
      <c r="N102" s="27" t="s">
        <v>445</v>
      </c>
      <c r="O102" s="14" t="s">
        <v>769</v>
      </c>
      <c r="P102" s="18"/>
    </row>
    <row r="103" spans="1:16" ht="56" customHeight="1">
      <c r="A103" s="5">
        <v>101</v>
      </c>
      <c r="B103" s="4">
        <v>22894888</v>
      </c>
      <c r="C103" s="50" t="s">
        <v>770</v>
      </c>
      <c r="D103" s="10" t="s">
        <v>448</v>
      </c>
      <c r="E103" s="10" t="s">
        <v>444</v>
      </c>
      <c r="F103" s="14" t="s">
        <v>444</v>
      </c>
      <c r="G103" s="14" t="s">
        <v>444</v>
      </c>
      <c r="H103" s="14" t="s">
        <v>444</v>
      </c>
      <c r="I103" s="14" t="s">
        <v>444</v>
      </c>
      <c r="J103" s="14" t="s">
        <v>444</v>
      </c>
      <c r="K103" s="14" t="s">
        <v>444</v>
      </c>
      <c r="L103" s="14" t="s">
        <v>444</v>
      </c>
      <c r="M103" s="14" t="s">
        <v>444</v>
      </c>
      <c r="N103" s="15" t="s">
        <v>445</v>
      </c>
      <c r="O103" s="14" t="s">
        <v>449</v>
      </c>
      <c r="P103" s="18"/>
    </row>
    <row r="104" spans="1:16" ht="28" customHeight="1">
      <c r="A104" s="5">
        <v>102</v>
      </c>
      <c r="B104" s="5">
        <v>28678344</v>
      </c>
      <c r="C104" s="50" t="s">
        <v>771</v>
      </c>
      <c r="D104" s="10" t="s">
        <v>441</v>
      </c>
      <c r="E104" s="10" t="s">
        <v>441</v>
      </c>
      <c r="F104" s="8" t="s">
        <v>478</v>
      </c>
      <c r="G104" s="11" t="s">
        <v>772</v>
      </c>
      <c r="H104" s="8" t="s">
        <v>441</v>
      </c>
      <c r="I104" s="11" t="s">
        <v>773</v>
      </c>
      <c r="J104" s="12" t="s">
        <v>441</v>
      </c>
      <c r="K104" s="11" t="s">
        <v>774</v>
      </c>
      <c r="L104" s="14" t="s">
        <v>688</v>
      </c>
      <c r="M104" s="14" t="s">
        <v>775</v>
      </c>
      <c r="N104" s="27" t="s">
        <v>445</v>
      </c>
      <c r="O104" s="14" t="s">
        <v>776</v>
      </c>
      <c r="P104" s="18"/>
    </row>
    <row r="105" spans="1:16" ht="42" customHeight="1">
      <c r="A105" s="5">
        <v>103</v>
      </c>
      <c r="B105" s="4">
        <v>32881214</v>
      </c>
      <c r="C105" s="50" t="s">
        <v>777</v>
      </c>
      <c r="D105" s="10" t="s">
        <v>441</v>
      </c>
      <c r="E105" s="10" t="s">
        <v>441</v>
      </c>
      <c r="F105" s="8" t="s">
        <v>442</v>
      </c>
      <c r="G105" s="14" t="s">
        <v>778</v>
      </c>
      <c r="H105" s="14" t="s">
        <v>444</v>
      </c>
      <c r="I105" s="8" t="s">
        <v>444</v>
      </c>
      <c r="J105" s="8" t="s">
        <v>444</v>
      </c>
      <c r="K105" s="8" t="s">
        <v>444</v>
      </c>
      <c r="L105" s="8" t="s">
        <v>444</v>
      </c>
      <c r="M105" s="8" t="s">
        <v>444</v>
      </c>
      <c r="N105" s="15" t="s">
        <v>445</v>
      </c>
      <c r="O105" s="14" t="s">
        <v>779</v>
      </c>
      <c r="P105" s="18"/>
    </row>
    <row r="106" spans="1:16" ht="42" customHeight="1">
      <c r="A106" s="5">
        <v>104</v>
      </c>
      <c r="B106" s="4">
        <v>39200406</v>
      </c>
      <c r="C106" s="50" t="s">
        <v>780</v>
      </c>
      <c r="D106" s="10" t="s">
        <v>441</v>
      </c>
      <c r="E106" s="10" t="s">
        <v>441</v>
      </c>
      <c r="F106" s="8" t="s">
        <v>442</v>
      </c>
      <c r="G106" s="14" t="s">
        <v>781</v>
      </c>
      <c r="H106" s="14" t="s">
        <v>444</v>
      </c>
      <c r="I106" s="8" t="s">
        <v>444</v>
      </c>
      <c r="J106" s="8" t="s">
        <v>444</v>
      </c>
      <c r="K106" s="8" t="s">
        <v>444</v>
      </c>
      <c r="L106" s="8" t="s">
        <v>444</v>
      </c>
      <c r="M106" s="8" t="s">
        <v>444</v>
      </c>
      <c r="N106" s="15" t="s">
        <v>445</v>
      </c>
      <c r="O106" s="14" t="s">
        <v>782</v>
      </c>
      <c r="P106" s="18"/>
    </row>
    <row r="107" spans="1:16" ht="70" customHeight="1">
      <c r="A107" s="5">
        <v>105</v>
      </c>
      <c r="B107" s="5">
        <v>27788205</v>
      </c>
      <c r="C107" s="50" t="s">
        <v>783</v>
      </c>
      <c r="D107" s="10" t="s">
        <v>441</v>
      </c>
      <c r="E107" s="10" t="s">
        <v>441</v>
      </c>
      <c r="F107" s="8" t="s">
        <v>478</v>
      </c>
      <c r="G107" s="11" t="s">
        <v>784</v>
      </c>
      <c r="H107" s="8" t="s">
        <v>441</v>
      </c>
      <c r="I107" s="16" t="s">
        <v>785</v>
      </c>
      <c r="J107" s="12" t="s">
        <v>441</v>
      </c>
      <c r="K107" s="16" t="s">
        <v>786</v>
      </c>
      <c r="L107" s="14" t="s">
        <v>688</v>
      </c>
      <c r="M107" s="14" t="s">
        <v>787</v>
      </c>
      <c r="N107" s="27" t="s">
        <v>445</v>
      </c>
      <c r="O107" s="14" t="s">
        <v>788</v>
      </c>
      <c r="P107" s="18"/>
    </row>
    <row r="108" spans="1:16" ht="42" customHeight="1">
      <c r="A108" s="6">
        <v>106</v>
      </c>
      <c r="B108" s="7">
        <v>25265207</v>
      </c>
      <c r="C108" s="50" t="s">
        <v>789</v>
      </c>
      <c r="D108" s="10" t="s">
        <v>441</v>
      </c>
      <c r="E108" s="10" t="s">
        <v>441</v>
      </c>
      <c r="F108" s="8" t="s">
        <v>478</v>
      </c>
      <c r="G108" s="11" t="s">
        <v>790</v>
      </c>
      <c r="H108" s="14" t="s">
        <v>448</v>
      </c>
      <c r="I108" s="14" t="s">
        <v>791</v>
      </c>
      <c r="J108" s="8" t="s">
        <v>444</v>
      </c>
      <c r="K108" s="8" t="s">
        <v>444</v>
      </c>
      <c r="L108" s="8" t="s">
        <v>444</v>
      </c>
      <c r="M108" s="8" t="s">
        <v>444</v>
      </c>
      <c r="N108" s="27" t="s">
        <v>445</v>
      </c>
      <c r="O108" s="14" t="s">
        <v>792</v>
      </c>
      <c r="P108" s="18"/>
    </row>
    <row r="109" spans="1:16" ht="28" customHeight="1">
      <c r="A109" s="6">
        <v>107</v>
      </c>
      <c r="B109" s="7">
        <v>34306160</v>
      </c>
      <c r="C109" s="50" t="s">
        <v>793</v>
      </c>
      <c r="D109" s="10" t="s">
        <v>448</v>
      </c>
      <c r="E109" s="10" t="s">
        <v>444</v>
      </c>
      <c r="F109" s="14" t="s">
        <v>444</v>
      </c>
      <c r="G109" s="14" t="s">
        <v>444</v>
      </c>
      <c r="H109" s="14" t="s">
        <v>444</v>
      </c>
      <c r="I109" s="14" t="s">
        <v>444</v>
      </c>
      <c r="J109" s="14" t="s">
        <v>444</v>
      </c>
      <c r="K109" s="14" t="s">
        <v>444</v>
      </c>
      <c r="L109" s="14" t="s">
        <v>444</v>
      </c>
      <c r="M109" s="14" t="s">
        <v>444</v>
      </c>
      <c r="N109" s="15" t="s">
        <v>445</v>
      </c>
      <c r="O109" s="14" t="s">
        <v>449</v>
      </c>
      <c r="P109" s="18"/>
    </row>
    <row r="110" spans="1:16" ht="28" customHeight="1">
      <c r="A110" s="6">
        <v>108</v>
      </c>
      <c r="B110" s="7">
        <v>36752916</v>
      </c>
      <c r="C110" s="50" t="s">
        <v>794</v>
      </c>
      <c r="D110" s="10" t="s">
        <v>448</v>
      </c>
      <c r="E110" s="10" t="s">
        <v>444</v>
      </c>
      <c r="F110" s="14" t="s">
        <v>444</v>
      </c>
      <c r="G110" s="14" t="s">
        <v>444</v>
      </c>
      <c r="H110" s="14" t="s">
        <v>444</v>
      </c>
      <c r="I110" s="14" t="s">
        <v>444</v>
      </c>
      <c r="J110" s="14" t="s">
        <v>444</v>
      </c>
      <c r="K110" s="14" t="s">
        <v>444</v>
      </c>
      <c r="L110" s="14" t="s">
        <v>444</v>
      </c>
      <c r="M110" s="14" t="s">
        <v>444</v>
      </c>
      <c r="N110" s="15" t="s">
        <v>445</v>
      </c>
      <c r="O110" s="14" t="s">
        <v>449</v>
      </c>
      <c r="P110" s="18"/>
    </row>
    <row r="111" spans="1:16" ht="28" customHeight="1">
      <c r="A111" s="6">
        <v>109</v>
      </c>
      <c r="B111" s="7">
        <v>35923005</v>
      </c>
      <c r="C111" s="50" t="s">
        <v>795</v>
      </c>
      <c r="D111" s="10" t="s">
        <v>441</v>
      </c>
      <c r="E111" s="10" t="s">
        <v>441</v>
      </c>
      <c r="F111" s="8" t="s">
        <v>442</v>
      </c>
      <c r="G111" s="14" t="s">
        <v>796</v>
      </c>
      <c r="H111" s="14" t="s">
        <v>444</v>
      </c>
      <c r="I111" s="8" t="s">
        <v>444</v>
      </c>
      <c r="J111" s="8" t="s">
        <v>444</v>
      </c>
      <c r="K111" s="8" t="s">
        <v>444</v>
      </c>
      <c r="L111" s="8" t="s">
        <v>444</v>
      </c>
      <c r="M111" s="8" t="s">
        <v>444</v>
      </c>
      <c r="N111" s="15" t="s">
        <v>445</v>
      </c>
      <c r="O111" s="14" t="s">
        <v>797</v>
      </c>
      <c r="P111" s="18"/>
    </row>
    <row r="112" spans="1:16" ht="56" customHeight="1">
      <c r="A112" s="6">
        <v>110</v>
      </c>
      <c r="B112" s="6">
        <v>32846591</v>
      </c>
      <c r="C112" s="50" t="s">
        <v>798</v>
      </c>
      <c r="D112" s="10" t="s">
        <v>441</v>
      </c>
      <c r="E112" s="10" t="s">
        <v>441</v>
      </c>
      <c r="F112" s="8" t="s">
        <v>478</v>
      </c>
      <c r="G112" s="16" t="s">
        <v>799</v>
      </c>
      <c r="H112" s="8" t="s">
        <v>441</v>
      </c>
      <c r="I112" s="16" t="s">
        <v>800</v>
      </c>
      <c r="J112" s="12" t="s">
        <v>441</v>
      </c>
      <c r="K112" s="16" t="s">
        <v>801</v>
      </c>
      <c r="L112" s="14" t="s">
        <v>688</v>
      </c>
      <c r="M112" s="14" t="s">
        <v>802</v>
      </c>
      <c r="N112" s="27" t="s">
        <v>445</v>
      </c>
      <c r="O112" s="14" t="s">
        <v>803</v>
      </c>
      <c r="P112" s="18"/>
    </row>
    <row r="113" spans="1:16" ht="182" customHeight="1">
      <c r="A113" s="6">
        <v>111</v>
      </c>
      <c r="B113" s="7">
        <v>36234940</v>
      </c>
      <c r="C113" s="50" t="s">
        <v>804</v>
      </c>
      <c r="D113" s="10" t="s">
        <v>441</v>
      </c>
      <c r="E113" s="10" t="s">
        <v>441</v>
      </c>
      <c r="F113" s="11" t="s">
        <v>478</v>
      </c>
      <c r="G113" s="16" t="s">
        <v>805</v>
      </c>
      <c r="H113" s="14" t="s">
        <v>441</v>
      </c>
      <c r="I113" s="16" t="s">
        <v>806</v>
      </c>
      <c r="J113" s="14" t="s">
        <v>448</v>
      </c>
      <c r="K113" s="14" t="s">
        <v>807</v>
      </c>
      <c r="L113" s="14" t="s">
        <v>444</v>
      </c>
      <c r="M113" s="14" t="s">
        <v>444</v>
      </c>
      <c r="N113" s="27" t="s">
        <v>445</v>
      </c>
      <c r="O113" s="14" t="s">
        <v>808</v>
      </c>
      <c r="P113" s="18"/>
    </row>
    <row r="114" spans="1:16" ht="28" customHeight="1">
      <c r="A114" s="6">
        <v>112</v>
      </c>
      <c r="B114" s="7">
        <v>36421579</v>
      </c>
      <c r="C114" s="50" t="s">
        <v>809</v>
      </c>
      <c r="D114" s="10" t="s">
        <v>441</v>
      </c>
      <c r="E114" s="10" t="s">
        <v>441</v>
      </c>
      <c r="F114" s="8" t="s">
        <v>478</v>
      </c>
      <c r="G114" s="16" t="s">
        <v>810</v>
      </c>
      <c r="H114" s="14" t="s">
        <v>448</v>
      </c>
      <c r="I114" s="14" t="s">
        <v>811</v>
      </c>
      <c r="J114" s="14" t="s">
        <v>444</v>
      </c>
      <c r="K114" s="14" t="s">
        <v>444</v>
      </c>
      <c r="L114" s="14" t="s">
        <v>444</v>
      </c>
      <c r="M114" s="14" t="s">
        <v>444</v>
      </c>
      <c r="N114" s="15" t="s">
        <v>445</v>
      </c>
      <c r="O114" s="14" t="s">
        <v>812</v>
      </c>
      <c r="P114" s="18"/>
    </row>
    <row r="115" spans="1:16" ht="42" customHeight="1">
      <c r="A115" s="6">
        <v>113</v>
      </c>
      <c r="B115" s="7">
        <v>38633175</v>
      </c>
      <c r="C115" s="50" t="s">
        <v>813</v>
      </c>
      <c r="D115" s="10" t="s">
        <v>441</v>
      </c>
      <c r="E115" s="10" t="s">
        <v>441</v>
      </c>
      <c r="F115" s="8" t="s">
        <v>478</v>
      </c>
      <c r="G115" s="16" t="s">
        <v>814</v>
      </c>
      <c r="H115" s="8" t="s">
        <v>441</v>
      </c>
      <c r="I115" s="16" t="s">
        <v>815</v>
      </c>
      <c r="J115" s="14" t="s">
        <v>448</v>
      </c>
      <c r="K115" s="14" t="s">
        <v>816</v>
      </c>
      <c r="L115" s="14" t="s">
        <v>444</v>
      </c>
      <c r="M115" s="14" t="s">
        <v>444</v>
      </c>
      <c r="N115" s="27" t="s">
        <v>445</v>
      </c>
      <c r="O115" s="14" t="s">
        <v>817</v>
      </c>
      <c r="P115" s="18"/>
    </row>
    <row r="116" spans="1:16" ht="42" customHeight="1">
      <c r="A116" s="6">
        <v>114</v>
      </c>
      <c r="B116" s="7">
        <v>39627596</v>
      </c>
      <c r="C116" s="50" t="s">
        <v>818</v>
      </c>
      <c r="D116" s="10" t="s">
        <v>448</v>
      </c>
      <c r="E116" s="10" t="s">
        <v>444</v>
      </c>
      <c r="F116" s="14" t="s">
        <v>444</v>
      </c>
      <c r="G116" s="14" t="s">
        <v>444</v>
      </c>
      <c r="H116" s="14" t="s">
        <v>444</v>
      </c>
      <c r="I116" s="14" t="s">
        <v>444</v>
      </c>
      <c r="J116" s="14" t="s">
        <v>444</v>
      </c>
      <c r="K116" s="14" t="s">
        <v>444</v>
      </c>
      <c r="L116" s="14" t="s">
        <v>444</v>
      </c>
      <c r="M116" s="14" t="s">
        <v>444</v>
      </c>
      <c r="N116" s="15" t="s">
        <v>445</v>
      </c>
      <c r="O116" s="14" t="s">
        <v>449</v>
      </c>
      <c r="P116" s="18"/>
    </row>
    <row r="117" spans="1:16" ht="42" customHeight="1">
      <c r="A117" s="6">
        <v>115</v>
      </c>
      <c r="B117" s="7">
        <v>39225207</v>
      </c>
      <c r="C117" s="50" t="s">
        <v>819</v>
      </c>
      <c r="D117" s="10" t="s">
        <v>448</v>
      </c>
      <c r="E117" s="10" t="s">
        <v>444</v>
      </c>
      <c r="F117" s="14" t="s">
        <v>444</v>
      </c>
      <c r="G117" s="14" t="s">
        <v>444</v>
      </c>
      <c r="H117" s="14" t="s">
        <v>444</v>
      </c>
      <c r="I117" s="14" t="s">
        <v>444</v>
      </c>
      <c r="J117" s="14" t="s">
        <v>444</v>
      </c>
      <c r="K117" s="14" t="s">
        <v>444</v>
      </c>
      <c r="L117" s="14" t="s">
        <v>444</v>
      </c>
      <c r="M117" s="14" t="s">
        <v>444</v>
      </c>
      <c r="N117" s="15" t="s">
        <v>445</v>
      </c>
      <c r="O117" s="14" t="s">
        <v>449</v>
      </c>
      <c r="P117" s="18"/>
    </row>
    <row r="118" spans="1:16" ht="42" customHeight="1">
      <c r="A118" s="6">
        <v>116</v>
      </c>
      <c r="B118" s="7">
        <v>19233576</v>
      </c>
      <c r="C118" s="50" t="s">
        <v>820</v>
      </c>
      <c r="D118" s="10" t="s">
        <v>441</v>
      </c>
      <c r="E118" s="10" t="s">
        <v>441</v>
      </c>
      <c r="F118" s="8" t="s">
        <v>442</v>
      </c>
      <c r="G118" s="14" t="s">
        <v>821</v>
      </c>
      <c r="H118" s="14" t="s">
        <v>444</v>
      </c>
      <c r="I118" s="14" t="s">
        <v>444</v>
      </c>
      <c r="J118" s="14" t="s">
        <v>444</v>
      </c>
      <c r="K118" s="14" t="s">
        <v>444</v>
      </c>
      <c r="L118" s="14" t="s">
        <v>444</v>
      </c>
      <c r="M118" s="14" t="s">
        <v>444</v>
      </c>
      <c r="N118" s="15" t="s">
        <v>445</v>
      </c>
      <c r="O118" s="14" t="s">
        <v>822</v>
      </c>
      <c r="P118" s="18"/>
    </row>
    <row r="119" spans="1:16" ht="42" customHeight="1">
      <c r="A119" s="6">
        <v>117</v>
      </c>
      <c r="B119" s="7">
        <v>36985135</v>
      </c>
      <c r="C119" s="50" t="s">
        <v>823</v>
      </c>
      <c r="D119" s="10" t="s">
        <v>441</v>
      </c>
      <c r="E119" s="10" t="s">
        <v>441</v>
      </c>
      <c r="F119" s="8" t="s">
        <v>478</v>
      </c>
      <c r="G119" s="16" t="s">
        <v>814</v>
      </c>
      <c r="H119" s="8" t="s">
        <v>448</v>
      </c>
      <c r="I119" s="14" t="s">
        <v>824</v>
      </c>
      <c r="J119" s="14" t="s">
        <v>444</v>
      </c>
      <c r="K119" s="14" t="s">
        <v>444</v>
      </c>
      <c r="L119" s="14" t="s">
        <v>444</v>
      </c>
      <c r="M119" s="14" t="s">
        <v>444</v>
      </c>
      <c r="N119" s="27" t="s">
        <v>445</v>
      </c>
      <c r="O119" s="14" t="s">
        <v>825</v>
      </c>
      <c r="P119" s="18"/>
    </row>
    <row r="120" spans="1:16" ht="42" customHeight="1">
      <c r="A120" s="6">
        <v>118</v>
      </c>
      <c r="B120" s="7">
        <v>34981492</v>
      </c>
      <c r="C120" s="50" t="s">
        <v>826</v>
      </c>
      <c r="D120" s="10" t="s">
        <v>448</v>
      </c>
      <c r="E120" s="10" t="s">
        <v>444</v>
      </c>
      <c r="F120" s="14" t="s">
        <v>444</v>
      </c>
      <c r="G120" s="14" t="s">
        <v>444</v>
      </c>
      <c r="H120" s="14" t="s">
        <v>444</v>
      </c>
      <c r="I120" s="14" t="s">
        <v>444</v>
      </c>
      <c r="J120" s="14" t="s">
        <v>444</v>
      </c>
      <c r="K120" s="14" t="s">
        <v>444</v>
      </c>
      <c r="L120" s="14" t="s">
        <v>444</v>
      </c>
      <c r="M120" s="14" t="s">
        <v>444</v>
      </c>
      <c r="N120" s="15" t="s">
        <v>445</v>
      </c>
      <c r="O120" s="14" t="s">
        <v>449</v>
      </c>
      <c r="P120" s="18"/>
    </row>
    <row r="121" spans="1:16" ht="28" customHeight="1">
      <c r="A121" s="6">
        <v>119</v>
      </c>
      <c r="B121" s="7">
        <v>33861449</v>
      </c>
      <c r="C121" s="50" t="s">
        <v>827</v>
      </c>
      <c r="D121" s="10" t="s">
        <v>448</v>
      </c>
      <c r="E121" s="10" t="s">
        <v>444</v>
      </c>
      <c r="F121" s="14" t="s">
        <v>444</v>
      </c>
      <c r="G121" s="14" t="s">
        <v>444</v>
      </c>
      <c r="H121" s="14" t="s">
        <v>444</v>
      </c>
      <c r="I121" s="14" t="s">
        <v>444</v>
      </c>
      <c r="J121" s="14" t="s">
        <v>444</v>
      </c>
      <c r="K121" s="14" t="s">
        <v>444</v>
      </c>
      <c r="L121" s="14" t="s">
        <v>444</v>
      </c>
      <c r="M121" s="14" t="s">
        <v>444</v>
      </c>
      <c r="N121" s="15" t="s">
        <v>445</v>
      </c>
      <c r="O121" s="14" t="s">
        <v>449</v>
      </c>
      <c r="P121" s="18"/>
    </row>
    <row r="122" spans="1:16" ht="42" customHeight="1">
      <c r="A122" s="6">
        <v>120</v>
      </c>
      <c r="B122" s="7">
        <v>29282046</v>
      </c>
      <c r="C122" s="50" t="s">
        <v>274</v>
      </c>
      <c r="D122" s="10" t="s">
        <v>441</v>
      </c>
      <c r="E122" s="10" t="s">
        <v>441</v>
      </c>
      <c r="F122" s="8" t="s">
        <v>478</v>
      </c>
      <c r="G122" s="16" t="s">
        <v>828</v>
      </c>
      <c r="H122" s="8" t="s">
        <v>441</v>
      </c>
      <c r="I122" s="12" t="s">
        <v>829</v>
      </c>
      <c r="J122" s="12" t="s">
        <v>441</v>
      </c>
      <c r="K122" s="12" t="s">
        <v>830</v>
      </c>
      <c r="L122" s="12" t="s">
        <v>831</v>
      </c>
      <c r="M122" s="12" t="s">
        <v>832</v>
      </c>
      <c r="N122" s="13" t="s">
        <v>484</v>
      </c>
      <c r="O122" s="16" t="s">
        <v>833</v>
      </c>
      <c r="P122" s="18"/>
    </row>
    <row r="123" spans="1:16" ht="56" customHeight="1">
      <c r="A123" s="6">
        <v>121</v>
      </c>
      <c r="B123" s="6">
        <v>20476737</v>
      </c>
      <c r="C123" s="50" t="s">
        <v>834</v>
      </c>
      <c r="D123" s="10" t="s">
        <v>441</v>
      </c>
      <c r="E123" s="10" t="s">
        <v>441</v>
      </c>
      <c r="F123" s="8" t="s">
        <v>478</v>
      </c>
      <c r="G123" s="16" t="s">
        <v>835</v>
      </c>
      <c r="H123" s="32" t="s">
        <v>441</v>
      </c>
      <c r="I123" s="16" t="s">
        <v>836</v>
      </c>
      <c r="J123" s="12" t="s">
        <v>441</v>
      </c>
      <c r="K123" s="16" t="s">
        <v>837</v>
      </c>
      <c r="L123" s="14" t="s">
        <v>688</v>
      </c>
      <c r="M123" s="14" t="s">
        <v>838</v>
      </c>
      <c r="N123" s="27" t="s">
        <v>445</v>
      </c>
      <c r="O123" s="14" t="s">
        <v>839</v>
      </c>
      <c r="P123" s="18"/>
    </row>
    <row r="124" spans="1:16" ht="28" customHeight="1">
      <c r="A124" s="6">
        <v>122</v>
      </c>
      <c r="B124" s="7">
        <v>40219065</v>
      </c>
      <c r="C124" s="50" t="s">
        <v>840</v>
      </c>
      <c r="D124" s="10" t="s">
        <v>441</v>
      </c>
      <c r="E124" s="10" t="s">
        <v>441</v>
      </c>
      <c r="F124" s="8" t="s">
        <v>478</v>
      </c>
      <c r="G124" s="16" t="s">
        <v>814</v>
      </c>
      <c r="H124" s="8" t="s">
        <v>448</v>
      </c>
      <c r="I124" s="14" t="s">
        <v>841</v>
      </c>
      <c r="J124" s="14" t="s">
        <v>444</v>
      </c>
      <c r="K124" s="14" t="s">
        <v>444</v>
      </c>
      <c r="L124" s="14" t="s">
        <v>444</v>
      </c>
      <c r="M124" s="14" t="s">
        <v>444</v>
      </c>
      <c r="N124" s="27" t="s">
        <v>445</v>
      </c>
      <c r="O124" s="14" t="s">
        <v>842</v>
      </c>
      <c r="P124" s="18"/>
    </row>
    <row r="125" spans="1:16" ht="28" customHeight="1">
      <c r="A125" s="6">
        <v>123</v>
      </c>
      <c r="B125" s="7">
        <v>24236996</v>
      </c>
      <c r="C125" s="50" t="s">
        <v>843</v>
      </c>
      <c r="D125" s="10" t="s">
        <v>441</v>
      </c>
      <c r="E125" s="10" t="s">
        <v>441</v>
      </c>
      <c r="F125" s="8" t="s">
        <v>442</v>
      </c>
      <c r="G125" s="14" t="s">
        <v>844</v>
      </c>
      <c r="H125" s="14" t="s">
        <v>444</v>
      </c>
      <c r="I125" s="14" t="s">
        <v>444</v>
      </c>
      <c r="J125" s="14" t="s">
        <v>444</v>
      </c>
      <c r="K125" s="14" t="s">
        <v>444</v>
      </c>
      <c r="L125" s="14" t="s">
        <v>444</v>
      </c>
      <c r="M125" s="14" t="s">
        <v>444</v>
      </c>
      <c r="N125" s="15" t="s">
        <v>445</v>
      </c>
      <c r="O125" s="14" t="s">
        <v>845</v>
      </c>
      <c r="P125" s="18"/>
    </row>
    <row r="126" spans="1:16" ht="28" customHeight="1">
      <c r="A126" s="6">
        <v>124</v>
      </c>
      <c r="B126" s="7">
        <v>27079631</v>
      </c>
      <c r="C126" s="50" t="s">
        <v>846</v>
      </c>
      <c r="D126" s="10" t="s">
        <v>441</v>
      </c>
      <c r="E126" s="10" t="s">
        <v>441</v>
      </c>
      <c r="F126" s="8" t="s">
        <v>442</v>
      </c>
      <c r="G126" s="14" t="s">
        <v>847</v>
      </c>
      <c r="H126" s="14" t="s">
        <v>444</v>
      </c>
      <c r="I126" s="14" t="s">
        <v>444</v>
      </c>
      <c r="J126" s="14" t="s">
        <v>444</v>
      </c>
      <c r="K126" s="14" t="s">
        <v>444</v>
      </c>
      <c r="L126" s="14" t="s">
        <v>444</v>
      </c>
      <c r="M126" s="14" t="s">
        <v>444</v>
      </c>
      <c r="N126" s="15" t="s">
        <v>445</v>
      </c>
      <c r="O126" s="14" t="s">
        <v>848</v>
      </c>
      <c r="P126" s="18"/>
    </row>
    <row r="127" spans="1:16" ht="42" customHeight="1">
      <c r="A127" s="6">
        <v>125</v>
      </c>
      <c r="B127" s="7">
        <v>39276944</v>
      </c>
      <c r="C127" s="50" t="s">
        <v>849</v>
      </c>
      <c r="D127" s="10" t="s">
        <v>448</v>
      </c>
      <c r="E127" s="10" t="s">
        <v>444</v>
      </c>
      <c r="F127" s="14" t="s">
        <v>444</v>
      </c>
      <c r="G127" s="14" t="s">
        <v>444</v>
      </c>
      <c r="H127" s="14" t="s">
        <v>444</v>
      </c>
      <c r="I127" s="14" t="s">
        <v>444</v>
      </c>
      <c r="J127" s="14" t="s">
        <v>444</v>
      </c>
      <c r="K127" s="14" t="s">
        <v>444</v>
      </c>
      <c r="L127" s="14" t="s">
        <v>444</v>
      </c>
      <c r="M127" s="14" t="s">
        <v>444</v>
      </c>
      <c r="N127" s="15" t="s">
        <v>445</v>
      </c>
      <c r="O127" s="14" t="s">
        <v>449</v>
      </c>
      <c r="P127" s="18"/>
    </row>
    <row r="128" spans="1:16" ht="28" customHeight="1">
      <c r="A128" s="6">
        <v>126</v>
      </c>
      <c r="B128" s="7">
        <v>29423360</v>
      </c>
      <c r="C128" s="50" t="s">
        <v>850</v>
      </c>
      <c r="D128" s="10" t="s">
        <v>441</v>
      </c>
      <c r="E128" s="10" t="s">
        <v>441</v>
      </c>
      <c r="F128" s="8" t="s">
        <v>478</v>
      </c>
      <c r="G128" s="16" t="s">
        <v>851</v>
      </c>
      <c r="H128" s="8" t="s">
        <v>448</v>
      </c>
      <c r="I128" s="14" t="s">
        <v>852</v>
      </c>
      <c r="J128" s="14" t="s">
        <v>444</v>
      </c>
      <c r="K128" s="14" t="s">
        <v>444</v>
      </c>
      <c r="L128" s="14" t="s">
        <v>444</v>
      </c>
      <c r="M128" s="14" t="s">
        <v>444</v>
      </c>
      <c r="N128" s="27" t="s">
        <v>445</v>
      </c>
      <c r="O128" s="14" t="s">
        <v>853</v>
      </c>
      <c r="P128" s="18"/>
    </row>
    <row r="129" spans="1:16" ht="28" customHeight="1">
      <c r="A129" s="6">
        <v>127</v>
      </c>
      <c r="B129" s="6">
        <v>21284538</v>
      </c>
      <c r="C129" s="50" t="s">
        <v>854</v>
      </c>
      <c r="D129" s="10" t="s">
        <v>441</v>
      </c>
      <c r="E129" s="10" t="s">
        <v>441</v>
      </c>
      <c r="F129" s="8" t="s">
        <v>478</v>
      </c>
      <c r="G129" s="16" t="s">
        <v>855</v>
      </c>
      <c r="H129" s="32" t="s">
        <v>441</v>
      </c>
      <c r="I129" s="16" t="s">
        <v>856</v>
      </c>
      <c r="J129" s="12" t="s">
        <v>441</v>
      </c>
      <c r="K129" s="16" t="s">
        <v>857</v>
      </c>
      <c r="L129" s="14" t="s">
        <v>688</v>
      </c>
      <c r="M129" s="14" t="s">
        <v>858</v>
      </c>
      <c r="N129" s="27" t="s">
        <v>445</v>
      </c>
      <c r="O129" s="14" t="s">
        <v>859</v>
      </c>
      <c r="P129" s="18"/>
    </row>
    <row r="130" spans="1:16" ht="42" customHeight="1">
      <c r="A130" s="6">
        <v>128</v>
      </c>
      <c r="B130" s="7">
        <v>41302497</v>
      </c>
      <c r="C130" s="50" t="s">
        <v>860</v>
      </c>
      <c r="D130" s="10" t="s">
        <v>441</v>
      </c>
      <c r="E130" s="10" t="s">
        <v>441</v>
      </c>
      <c r="F130" s="8" t="s">
        <v>442</v>
      </c>
      <c r="G130" s="14" t="s">
        <v>861</v>
      </c>
      <c r="H130" s="14" t="s">
        <v>444</v>
      </c>
      <c r="I130" s="14" t="s">
        <v>444</v>
      </c>
      <c r="J130" s="14" t="s">
        <v>444</v>
      </c>
      <c r="K130" s="14" t="s">
        <v>444</v>
      </c>
      <c r="L130" s="14" t="s">
        <v>444</v>
      </c>
      <c r="M130" s="14" t="s">
        <v>444</v>
      </c>
      <c r="N130" s="15" t="s">
        <v>445</v>
      </c>
      <c r="O130" s="14" t="s">
        <v>862</v>
      </c>
      <c r="P130" s="18"/>
    </row>
    <row r="131" spans="1:16" ht="56" customHeight="1">
      <c r="A131" s="6">
        <v>129</v>
      </c>
      <c r="B131" s="7">
        <v>39567854</v>
      </c>
      <c r="C131" s="50" t="s">
        <v>863</v>
      </c>
      <c r="D131" s="10" t="s">
        <v>448</v>
      </c>
      <c r="E131" s="10" t="s">
        <v>444</v>
      </c>
      <c r="F131" s="14" t="s">
        <v>444</v>
      </c>
      <c r="G131" s="14" t="s">
        <v>444</v>
      </c>
      <c r="H131" s="14" t="s">
        <v>444</v>
      </c>
      <c r="I131" s="14" t="s">
        <v>444</v>
      </c>
      <c r="J131" s="14" t="s">
        <v>444</v>
      </c>
      <c r="K131" s="14" t="s">
        <v>444</v>
      </c>
      <c r="L131" s="14" t="s">
        <v>444</v>
      </c>
      <c r="M131" s="14" t="s">
        <v>444</v>
      </c>
      <c r="N131" s="15" t="s">
        <v>445</v>
      </c>
      <c r="O131" s="14" t="s">
        <v>449</v>
      </c>
      <c r="P131" s="18"/>
    </row>
    <row r="132" spans="1:16" ht="42" customHeight="1">
      <c r="A132" s="6">
        <v>130</v>
      </c>
      <c r="B132" s="7">
        <v>27031971</v>
      </c>
      <c r="C132" s="50" t="s">
        <v>864</v>
      </c>
      <c r="D132" s="10" t="s">
        <v>441</v>
      </c>
      <c r="E132" s="10" t="s">
        <v>441</v>
      </c>
      <c r="F132" s="8" t="s">
        <v>442</v>
      </c>
      <c r="G132" s="14" t="s">
        <v>865</v>
      </c>
      <c r="H132" s="14" t="s">
        <v>444</v>
      </c>
      <c r="I132" s="14" t="s">
        <v>444</v>
      </c>
      <c r="J132" s="14" t="s">
        <v>444</v>
      </c>
      <c r="K132" s="14" t="s">
        <v>444</v>
      </c>
      <c r="L132" s="14" t="s">
        <v>444</v>
      </c>
      <c r="M132" s="14" t="s">
        <v>444</v>
      </c>
      <c r="N132" s="15" t="s">
        <v>445</v>
      </c>
      <c r="O132" s="14" t="s">
        <v>866</v>
      </c>
      <c r="P132" s="18"/>
    </row>
    <row r="133" spans="1:16" ht="42" customHeight="1">
      <c r="A133" s="6">
        <v>131</v>
      </c>
      <c r="B133" s="7">
        <v>41256917</v>
      </c>
      <c r="C133" s="50" t="s">
        <v>867</v>
      </c>
      <c r="D133" s="10" t="s">
        <v>441</v>
      </c>
      <c r="E133" s="10" t="s">
        <v>441</v>
      </c>
      <c r="F133" s="8" t="s">
        <v>442</v>
      </c>
      <c r="G133" s="14" t="s">
        <v>868</v>
      </c>
      <c r="H133" s="14" t="s">
        <v>444</v>
      </c>
      <c r="I133" s="14" t="s">
        <v>444</v>
      </c>
      <c r="J133" s="14" t="s">
        <v>444</v>
      </c>
      <c r="K133" s="14" t="s">
        <v>444</v>
      </c>
      <c r="L133" s="14" t="s">
        <v>444</v>
      </c>
      <c r="M133" s="14" t="s">
        <v>444</v>
      </c>
      <c r="N133" s="15" t="s">
        <v>445</v>
      </c>
      <c r="O133" s="14" t="s">
        <v>869</v>
      </c>
      <c r="P133" s="18"/>
    </row>
    <row r="134" spans="1:16" ht="42" customHeight="1">
      <c r="A134" s="6">
        <v>132</v>
      </c>
      <c r="B134" s="7">
        <v>33861444</v>
      </c>
      <c r="C134" s="50" t="s">
        <v>870</v>
      </c>
      <c r="D134" s="10" t="s">
        <v>448</v>
      </c>
      <c r="E134" s="10" t="s">
        <v>444</v>
      </c>
      <c r="F134" s="14" t="s">
        <v>444</v>
      </c>
      <c r="G134" s="14" t="s">
        <v>444</v>
      </c>
      <c r="H134" s="14" t="s">
        <v>444</v>
      </c>
      <c r="I134" s="14" t="s">
        <v>444</v>
      </c>
      <c r="J134" s="14" t="s">
        <v>444</v>
      </c>
      <c r="K134" s="14" t="s">
        <v>444</v>
      </c>
      <c r="L134" s="14" t="s">
        <v>444</v>
      </c>
      <c r="M134" s="14" t="s">
        <v>444</v>
      </c>
      <c r="N134" s="15" t="s">
        <v>445</v>
      </c>
      <c r="O134" s="14" t="s">
        <v>449</v>
      </c>
      <c r="P134" s="18"/>
    </row>
    <row r="135" spans="1:16" ht="42" customHeight="1">
      <c r="A135" s="6">
        <v>133</v>
      </c>
      <c r="B135" s="7">
        <v>41038680</v>
      </c>
      <c r="C135" s="50" t="s">
        <v>871</v>
      </c>
      <c r="D135" s="10" t="s">
        <v>448</v>
      </c>
      <c r="E135" s="10" t="s">
        <v>444</v>
      </c>
      <c r="F135" s="14" t="s">
        <v>444</v>
      </c>
      <c r="G135" s="14" t="s">
        <v>444</v>
      </c>
      <c r="H135" s="14" t="s">
        <v>444</v>
      </c>
      <c r="I135" s="14" t="s">
        <v>444</v>
      </c>
      <c r="J135" s="14" t="s">
        <v>444</v>
      </c>
      <c r="K135" s="14" t="s">
        <v>444</v>
      </c>
      <c r="L135" s="14" t="s">
        <v>444</v>
      </c>
      <c r="M135" s="14" t="s">
        <v>444</v>
      </c>
      <c r="N135" s="15" t="s">
        <v>445</v>
      </c>
      <c r="O135" s="14" t="s">
        <v>449</v>
      </c>
      <c r="P135" s="18"/>
    </row>
    <row r="136" spans="1:16" ht="42" customHeight="1">
      <c r="A136" s="6">
        <v>134</v>
      </c>
      <c r="B136" s="7">
        <v>39845339</v>
      </c>
      <c r="C136" s="50" t="s">
        <v>872</v>
      </c>
      <c r="D136" s="10" t="s">
        <v>448</v>
      </c>
      <c r="E136" s="10" t="s">
        <v>444</v>
      </c>
      <c r="F136" s="14" t="s">
        <v>444</v>
      </c>
      <c r="G136" s="14" t="s">
        <v>444</v>
      </c>
      <c r="H136" s="14" t="s">
        <v>444</v>
      </c>
      <c r="I136" s="14" t="s">
        <v>444</v>
      </c>
      <c r="J136" s="14" t="s">
        <v>444</v>
      </c>
      <c r="K136" s="14" t="s">
        <v>444</v>
      </c>
      <c r="L136" s="14" t="s">
        <v>444</v>
      </c>
      <c r="M136" s="14" t="s">
        <v>444</v>
      </c>
      <c r="N136" s="15" t="s">
        <v>445</v>
      </c>
      <c r="O136" s="14" t="s">
        <v>449</v>
      </c>
      <c r="P136" s="18"/>
    </row>
    <row r="137" spans="1:16" ht="42" customHeight="1">
      <c r="A137" s="6">
        <v>135</v>
      </c>
      <c r="B137" s="6">
        <v>30458900</v>
      </c>
      <c r="C137" s="50" t="s">
        <v>873</v>
      </c>
      <c r="D137" s="10" t="s">
        <v>441</v>
      </c>
      <c r="E137" s="10" t="s">
        <v>441</v>
      </c>
      <c r="F137" s="8" t="s">
        <v>478</v>
      </c>
      <c r="G137" s="16" t="s">
        <v>874</v>
      </c>
      <c r="H137" s="8" t="s">
        <v>441</v>
      </c>
      <c r="I137" s="16" t="s">
        <v>875</v>
      </c>
      <c r="J137" s="14" t="s">
        <v>448</v>
      </c>
      <c r="K137" s="14" t="s">
        <v>876</v>
      </c>
      <c r="L137" s="14" t="s">
        <v>444</v>
      </c>
      <c r="M137" s="14" t="s">
        <v>444</v>
      </c>
      <c r="N137" s="27" t="s">
        <v>445</v>
      </c>
      <c r="O137" s="14" t="s">
        <v>877</v>
      </c>
      <c r="P137" s="18"/>
    </row>
    <row r="138" spans="1:16" ht="42" customHeight="1">
      <c r="A138" s="6">
        <v>136</v>
      </c>
      <c r="B138" s="7">
        <v>35237740</v>
      </c>
      <c r="C138" s="50" t="s">
        <v>878</v>
      </c>
      <c r="D138" s="10" t="s">
        <v>448</v>
      </c>
      <c r="E138" s="10" t="s">
        <v>444</v>
      </c>
      <c r="F138" s="14" t="s">
        <v>444</v>
      </c>
      <c r="G138" s="14" t="s">
        <v>444</v>
      </c>
      <c r="H138" s="14" t="s">
        <v>444</v>
      </c>
      <c r="I138" s="14" t="s">
        <v>444</v>
      </c>
      <c r="J138" s="14" t="s">
        <v>444</v>
      </c>
      <c r="K138" s="14" t="s">
        <v>444</v>
      </c>
      <c r="L138" s="14" t="s">
        <v>444</v>
      </c>
      <c r="M138" s="14" t="s">
        <v>444</v>
      </c>
      <c r="N138" s="15" t="s">
        <v>445</v>
      </c>
      <c r="O138" s="14" t="s">
        <v>449</v>
      </c>
      <c r="P138" s="18"/>
    </row>
    <row r="139" spans="1:16" ht="42" customHeight="1">
      <c r="A139" s="6">
        <v>137</v>
      </c>
      <c r="B139" s="7">
        <v>30237686</v>
      </c>
      <c r="C139" s="50" t="s">
        <v>879</v>
      </c>
      <c r="D139" s="10" t="s">
        <v>448</v>
      </c>
      <c r="E139" s="10" t="s">
        <v>444</v>
      </c>
      <c r="F139" s="14" t="s">
        <v>444</v>
      </c>
      <c r="G139" s="14" t="s">
        <v>444</v>
      </c>
      <c r="H139" s="14" t="s">
        <v>444</v>
      </c>
      <c r="I139" s="14" t="s">
        <v>444</v>
      </c>
      <c r="J139" s="14" t="s">
        <v>444</v>
      </c>
      <c r="K139" s="14" t="s">
        <v>444</v>
      </c>
      <c r="L139" s="14" t="s">
        <v>444</v>
      </c>
      <c r="M139" s="14" t="s">
        <v>444</v>
      </c>
      <c r="N139" s="15" t="s">
        <v>445</v>
      </c>
      <c r="O139" s="14" t="s">
        <v>449</v>
      </c>
      <c r="P139" s="18"/>
    </row>
    <row r="140" spans="1:16" ht="56" customHeight="1">
      <c r="A140" s="6">
        <v>138</v>
      </c>
      <c r="B140" s="7">
        <v>40356180</v>
      </c>
      <c r="C140" s="50" t="s">
        <v>880</v>
      </c>
      <c r="D140" s="10" t="s">
        <v>448</v>
      </c>
      <c r="E140" s="10" t="s">
        <v>444</v>
      </c>
      <c r="F140" s="14" t="s">
        <v>444</v>
      </c>
      <c r="G140" s="14" t="s">
        <v>444</v>
      </c>
      <c r="H140" s="14" t="s">
        <v>444</v>
      </c>
      <c r="I140" s="14" t="s">
        <v>444</v>
      </c>
      <c r="J140" s="14" t="s">
        <v>444</v>
      </c>
      <c r="K140" s="14" t="s">
        <v>444</v>
      </c>
      <c r="L140" s="14" t="s">
        <v>444</v>
      </c>
      <c r="M140" s="14" t="s">
        <v>444</v>
      </c>
      <c r="N140" s="15" t="s">
        <v>445</v>
      </c>
      <c r="O140" s="14" t="s">
        <v>449</v>
      </c>
      <c r="P140" s="18"/>
    </row>
    <row r="141" spans="1:16" ht="56" customHeight="1">
      <c r="A141" s="6">
        <v>139</v>
      </c>
      <c r="B141" s="7">
        <v>30852764</v>
      </c>
      <c r="C141" s="50" t="s">
        <v>881</v>
      </c>
      <c r="D141" s="10" t="s">
        <v>441</v>
      </c>
      <c r="E141" s="10" t="s">
        <v>441</v>
      </c>
      <c r="F141" s="8" t="s">
        <v>442</v>
      </c>
      <c r="G141" s="14" t="s">
        <v>882</v>
      </c>
      <c r="H141" s="14" t="s">
        <v>444</v>
      </c>
      <c r="I141" s="14" t="s">
        <v>444</v>
      </c>
      <c r="J141" s="14" t="s">
        <v>444</v>
      </c>
      <c r="K141" s="14" t="s">
        <v>444</v>
      </c>
      <c r="L141" s="14" t="s">
        <v>444</v>
      </c>
      <c r="M141" s="14" t="s">
        <v>444</v>
      </c>
      <c r="N141" s="15" t="s">
        <v>445</v>
      </c>
      <c r="O141" s="14" t="s">
        <v>883</v>
      </c>
      <c r="P141" s="18"/>
    </row>
    <row r="142" spans="1:16" ht="42" customHeight="1">
      <c r="A142" s="6">
        <v>140</v>
      </c>
      <c r="B142" s="7">
        <v>35630724</v>
      </c>
      <c r="C142" s="50" t="s">
        <v>884</v>
      </c>
      <c r="D142" s="10" t="s">
        <v>441</v>
      </c>
      <c r="E142" s="10" t="s">
        <v>441</v>
      </c>
      <c r="F142" s="8" t="s">
        <v>478</v>
      </c>
      <c r="G142" s="16" t="s">
        <v>814</v>
      </c>
      <c r="H142" s="14" t="s">
        <v>448</v>
      </c>
      <c r="I142" s="14" t="s">
        <v>885</v>
      </c>
      <c r="J142" s="14" t="s">
        <v>444</v>
      </c>
      <c r="K142" s="14" t="s">
        <v>444</v>
      </c>
      <c r="L142" s="14" t="s">
        <v>444</v>
      </c>
      <c r="M142" s="14" t="s">
        <v>444</v>
      </c>
      <c r="N142" s="27" t="s">
        <v>445</v>
      </c>
      <c r="O142" s="14" t="s">
        <v>886</v>
      </c>
      <c r="P142" s="18"/>
    </row>
    <row r="143" spans="1:16" ht="56" customHeight="1">
      <c r="A143" s="6">
        <v>141</v>
      </c>
      <c r="B143" s="7">
        <v>35273988</v>
      </c>
      <c r="C143" s="50" t="s">
        <v>128</v>
      </c>
      <c r="D143" s="10" t="s">
        <v>441</v>
      </c>
      <c r="E143" s="10" t="s">
        <v>441</v>
      </c>
      <c r="F143" s="8" t="s">
        <v>478</v>
      </c>
      <c r="G143" s="16" t="s">
        <v>887</v>
      </c>
      <c r="H143" s="8" t="s">
        <v>441</v>
      </c>
      <c r="I143" s="12" t="s">
        <v>888</v>
      </c>
      <c r="J143" s="12" t="s">
        <v>441</v>
      </c>
      <c r="K143" s="12" t="s">
        <v>889</v>
      </c>
      <c r="L143" s="12" t="s">
        <v>890</v>
      </c>
      <c r="M143" s="12" t="s">
        <v>891</v>
      </c>
      <c r="N143" s="13" t="s">
        <v>484</v>
      </c>
      <c r="O143" s="16" t="s">
        <v>892</v>
      </c>
      <c r="P143" s="18"/>
    </row>
    <row r="144" spans="1:16" ht="28" customHeight="1">
      <c r="A144" s="6">
        <v>142</v>
      </c>
      <c r="B144" s="7">
        <v>29577313</v>
      </c>
      <c r="C144" s="50" t="s">
        <v>893</v>
      </c>
      <c r="D144" s="10" t="s">
        <v>441</v>
      </c>
      <c r="E144" s="10" t="s">
        <v>441</v>
      </c>
      <c r="F144" s="8" t="s">
        <v>478</v>
      </c>
      <c r="G144" s="16" t="s">
        <v>814</v>
      </c>
      <c r="H144" s="14" t="s">
        <v>448</v>
      </c>
      <c r="I144" s="14" t="s">
        <v>894</v>
      </c>
      <c r="J144" s="14" t="s">
        <v>444</v>
      </c>
      <c r="K144" s="14" t="s">
        <v>444</v>
      </c>
      <c r="L144" s="14" t="s">
        <v>444</v>
      </c>
      <c r="M144" s="14" t="s">
        <v>444</v>
      </c>
      <c r="N144" s="27" t="s">
        <v>445</v>
      </c>
      <c r="O144" s="14" t="s">
        <v>895</v>
      </c>
      <c r="P144" s="18"/>
    </row>
    <row r="145" spans="1:16" ht="28" customHeight="1">
      <c r="A145" s="6">
        <v>143</v>
      </c>
      <c r="B145" s="7">
        <v>34603823</v>
      </c>
      <c r="C145" s="50" t="s">
        <v>144</v>
      </c>
      <c r="D145" s="10" t="s">
        <v>441</v>
      </c>
      <c r="E145" s="10" t="s">
        <v>441</v>
      </c>
      <c r="F145" s="8" t="s">
        <v>478</v>
      </c>
      <c r="G145" s="16" t="s">
        <v>896</v>
      </c>
      <c r="H145" s="8" t="s">
        <v>441</v>
      </c>
      <c r="I145" s="12" t="s">
        <v>897</v>
      </c>
      <c r="J145" s="12" t="s">
        <v>441</v>
      </c>
      <c r="K145" s="12" t="s">
        <v>898</v>
      </c>
      <c r="L145" s="12" t="s">
        <v>899</v>
      </c>
      <c r="M145" s="12" t="s">
        <v>900</v>
      </c>
      <c r="N145" s="13" t="s">
        <v>484</v>
      </c>
      <c r="O145" s="16" t="s">
        <v>901</v>
      </c>
      <c r="P145" s="18"/>
    </row>
    <row r="146" spans="1:16" ht="42" customHeight="1">
      <c r="A146" s="6">
        <v>144</v>
      </c>
      <c r="B146" s="7">
        <v>39202844</v>
      </c>
      <c r="C146" s="50" t="s">
        <v>902</v>
      </c>
      <c r="D146" s="10" t="s">
        <v>441</v>
      </c>
      <c r="E146" s="10" t="s">
        <v>441</v>
      </c>
      <c r="F146" s="8" t="s">
        <v>478</v>
      </c>
      <c r="G146" s="16" t="s">
        <v>903</v>
      </c>
      <c r="H146" s="8" t="s">
        <v>448</v>
      </c>
      <c r="I146" s="14" t="s">
        <v>904</v>
      </c>
      <c r="J146" s="14" t="s">
        <v>444</v>
      </c>
      <c r="K146" s="14" t="s">
        <v>444</v>
      </c>
      <c r="L146" s="14" t="s">
        <v>444</v>
      </c>
      <c r="M146" s="14" t="s">
        <v>444</v>
      </c>
      <c r="N146" s="27" t="s">
        <v>445</v>
      </c>
      <c r="O146" s="14" t="s">
        <v>905</v>
      </c>
      <c r="P146" s="18"/>
    </row>
    <row r="147" spans="1:16" ht="56" customHeight="1">
      <c r="A147" s="6">
        <v>145</v>
      </c>
      <c r="B147" s="7">
        <v>25605129</v>
      </c>
      <c r="C147" s="50" t="s">
        <v>906</v>
      </c>
      <c r="D147" s="10" t="s">
        <v>441</v>
      </c>
      <c r="E147" s="10" t="s">
        <v>441</v>
      </c>
      <c r="F147" s="8" t="s">
        <v>478</v>
      </c>
      <c r="G147" s="16" t="s">
        <v>907</v>
      </c>
      <c r="H147" s="8" t="s">
        <v>441</v>
      </c>
      <c r="I147" s="12" t="s">
        <v>908</v>
      </c>
      <c r="J147" s="12" t="s">
        <v>441</v>
      </c>
      <c r="K147" s="12" t="s">
        <v>909</v>
      </c>
      <c r="L147" s="12" t="s">
        <v>910</v>
      </c>
      <c r="M147" s="12" t="s">
        <v>911</v>
      </c>
      <c r="N147" s="13" t="s">
        <v>484</v>
      </c>
      <c r="O147" s="16" t="s">
        <v>912</v>
      </c>
      <c r="P147" s="18"/>
    </row>
    <row r="148" spans="1:16" ht="42" customHeight="1">
      <c r="A148" s="6">
        <v>146</v>
      </c>
      <c r="B148" s="7">
        <v>34600509</v>
      </c>
      <c r="C148" s="50" t="s">
        <v>913</v>
      </c>
      <c r="D148" s="10" t="s">
        <v>441</v>
      </c>
      <c r="E148" s="10" t="s">
        <v>441</v>
      </c>
      <c r="F148" s="8" t="s">
        <v>478</v>
      </c>
      <c r="G148" s="16" t="s">
        <v>814</v>
      </c>
      <c r="H148" s="8" t="s">
        <v>448</v>
      </c>
      <c r="I148" s="14" t="s">
        <v>914</v>
      </c>
      <c r="J148" s="14" t="s">
        <v>444</v>
      </c>
      <c r="K148" s="14" t="s">
        <v>444</v>
      </c>
      <c r="L148" s="14" t="s">
        <v>444</v>
      </c>
      <c r="M148" s="14" t="s">
        <v>444</v>
      </c>
      <c r="N148" s="27" t="s">
        <v>445</v>
      </c>
      <c r="O148" s="14" t="s">
        <v>915</v>
      </c>
      <c r="P148" s="18"/>
    </row>
    <row r="149" spans="1:16" ht="42" customHeight="1">
      <c r="A149" s="6">
        <v>147</v>
      </c>
      <c r="B149" s="7">
        <v>36938283</v>
      </c>
      <c r="C149" s="50" t="s">
        <v>202</v>
      </c>
      <c r="D149" s="10" t="s">
        <v>441</v>
      </c>
      <c r="E149" s="10" t="s">
        <v>441</v>
      </c>
      <c r="F149" s="8" t="s">
        <v>478</v>
      </c>
      <c r="G149" s="16" t="s">
        <v>916</v>
      </c>
      <c r="H149" s="8" t="s">
        <v>441</v>
      </c>
      <c r="I149" s="12" t="s">
        <v>917</v>
      </c>
      <c r="J149" s="12" t="s">
        <v>441</v>
      </c>
      <c r="K149" s="12" t="s">
        <v>918</v>
      </c>
      <c r="L149" s="12" t="s">
        <v>919</v>
      </c>
      <c r="M149" s="12" t="s">
        <v>920</v>
      </c>
      <c r="N149" s="13" t="s">
        <v>484</v>
      </c>
      <c r="O149" s="16" t="s">
        <v>921</v>
      </c>
      <c r="P149" s="18"/>
    </row>
    <row r="150" spans="1:16" ht="42" customHeight="1">
      <c r="A150" s="6">
        <v>148</v>
      </c>
      <c r="B150" s="7">
        <v>25456850</v>
      </c>
      <c r="C150" s="50" t="s">
        <v>305</v>
      </c>
      <c r="D150" s="10" t="s">
        <v>441</v>
      </c>
      <c r="E150" s="10" t="s">
        <v>441</v>
      </c>
      <c r="F150" s="8" t="s">
        <v>478</v>
      </c>
      <c r="G150" s="16" t="s">
        <v>922</v>
      </c>
      <c r="H150" s="8" t="s">
        <v>441</v>
      </c>
      <c r="I150" s="12" t="s">
        <v>923</v>
      </c>
      <c r="J150" s="12" t="s">
        <v>441</v>
      </c>
      <c r="K150" s="12" t="s">
        <v>924</v>
      </c>
      <c r="L150" s="14" t="s">
        <v>688</v>
      </c>
      <c r="M150" s="14" t="s">
        <v>1121</v>
      </c>
      <c r="N150" s="27" t="s">
        <v>445</v>
      </c>
      <c r="O150" s="14" t="s">
        <v>1122</v>
      </c>
      <c r="P150" s="18"/>
    </row>
    <row r="151" spans="1:16" ht="42" customHeight="1">
      <c r="A151" s="6">
        <v>149</v>
      </c>
      <c r="B151" s="7">
        <v>34819228</v>
      </c>
      <c r="C151" s="50" t="s">
        <v>925</v>
      </c>
      <c r="D151" s="10" t="s">
        <v>441</v>
      </c>
      <c r="E151" s="10" t="s">
        <v>441</v>
      </c>
      <c r="F151" s="8" t="s">
        <v>442</v>
      </c>
      <c r="G151" s="14" t="s">
        <v>926</v>
      </c>
      <c r="H151" s="14" t="s">
        <v>444</v>
      </c>
      <c r="I151" s="14" t="s">
        <v>444</v>
      </c>
      <c r="J151" s="14" t="s">
        <v>444</v>
      </c>
      <c r="K151" s="14" t="s">
        <v>444</v>
      </c>
      <c r="L151" s="14" t="s">
        <v>444</v>
      </c>
      <c r="M151" s="14" t="s">
        <v>444</v>
      </c>
      <c r="N151" s="15" t="s">
        <v>445</v>
      </c>
      <c r="O151" s="14" t="s">
        <v>927</v>
      </c>
      <c r="P151" s="18"/>
    </row>
    <row r="152" spans="1:16" ht="70" customHeight="1">
      <c r="A152" s="6">
        <v>150</v>
      </c>
      <c r="B152" s="7">
        <v>27087648</v>
      </c>
      <c r="C152" s="50" t="s">
        <v>928</v>
      </c>
      <c r="D152" s="10" t="s">
        <v>448</v>
      </c>
      <c r="E152" s="10" t="s">
        <v>444</v>
      </c>
      <c r="F152" s="14" t="s">
        <v>444</v>
      </c>
      <c r="G152" s="14" t="s">
        <v>444</v>
      </c>
      <c r="H152" s="14" t="s">
        <v>444</v>
      </c>
      <c r="I152" s="14" t="s">
        <v>444</v>
      </c>
      <c r="J152" s="14" t="s">
        <v>444</v>
      </c>
      <c r="K152" s="14" t="s">
        <v>444</v>
      </c>
      <c r="L152" s="14" t="s">
        <v>444</v>
      </c>
      <c r="M152" s="14" t="s">
        <v>444</v>
      </c>
      <c r="N152" s="15" t="s">
        <v>445</v>
      </c>
      <c r="O152" s="14" t="s">
        <v>449</v>
      </c>
      <c r="P152" s="18"/>
    </row>
    <row r="153" spans="1:16" ht="56" customHeight="1">
      <c r="A153" s="6">
        <v>151</v>
      </c>
      <c r="B153" s="6">
        <v>20456525</v>
      </c>
      <c r="C153" s="50" t="s">
        <v>929</v>
      </c>
      <c r="D153" s="10" t="s">
        <v>441</v>
      </c>
      <c r="E153" s="10" t="s">
        <v>441</v>
      </c>
      <c r="F153" s="8" t="s">
        <v>478</v>
      </c>
      <c r="G153" s="16" t="s">
        <v>930</v>
      </c>
      <c r="H153" s="8" t="s">
        <v>441</v>
      </c>
      <c r="I153" s="16" t="s">
        <v>931</v>
      </c>
      <c r="J153" s="12" t="s">
        <v>441</v>
      </c>
      <c r="K153" s="16" t="s">
        <v>932</v>
      </c>
      <c r="L153" s="51" t="s">
        <v>688</v>
      </c>
      <c r="M153" s="14" t="s">
        <v>933</v>
      </c>
      <c r="N153" s="27" t="s">
        <v>445</v>
      </c>
      <c r="O153" s="14" t="s">
        <v>934</v>
      </c>
      <c r="P153" s="18"/>
    </row>
    <row r="154" spans="1:16" ht="42" customHeight="1">
      <c r="A154" s="6">
        <v>152</v>
      </c>
      <c r="B154" s="7">
        <v>35514405</v>
      </c>
      <c r="C154" s="50" t="s">
        <v>935</v>
      </c>
      <c r="D154" s="10" t="s">
        <v>441</v>
      </c>
      <c r="E154" s="10" t="s">
        <v>441</v>
      </c>
      <c r="F154" s="8" t="s">
        <v>478</v>
      </c>
      <c r="G154" s="16" t="s">
        <v>936</v>
      </c>
      <c r="H154" s="8" t="s">
        <v>441</v>
      </c>
      <c r="I154" s="14" t="s">
        <v>937</v>
      </c>
      <c r="J154" s="14" t="s">
        <v>448</v>
      </c>
      <c r="K154" s="14" t="s">
        <v>1119</v>
      </c>
      <c r="L154" s="14" t="s">
        <v>444</v>
      </c>
      <c r="M154" s="14" t="s">
        <v>444</v>
      </c>
      <c r="N154" s="27" t="s">
        <v>445</v>
      </c>
      <c r="O154" s="14" t="s">
        <v>938</v>
      </c>
      <c r="P154" s="18"/>
    </row>
    <row r="155" spans="1:16" ht="42" customHeight="1">
      <c r="A155" s="6">
        <v>153</v>
      </c>
      <c r="B155" s="7">
        <v>35230374</v>
      </c>
      <c r="C155" s="50" t="s">
        <v>246</v>
      </c>
      <c r="D155" s="10" t="s">
        <v>441</v>
      </c>
      <c r="E155" s="10" t="s">
        <v>441</v>
      </c>
      <c r="F155" s="8" t="s">
        <v>478</v>
      </c>
      <c r="G155" s="16" t="s">
        <v>939</v>
      </c>
      <c r="H155" s="8" t="s">
        <v>441</v>
      </c>
      <c r="I155" s="16" t="s">
        <v>940</v>
      </c>
      <c r="J155" s="12" t="s">
        <v>441</v>
      </c>
      <c r="K155" s="16" t="s">
        <v>941</v>
      </c>
      <c r="L155" s="12" t="s">
        <v>942</v>
      </c>
      <c r="M155" s="12" t="s">
        <v>943</v>
      </c>
      <c r="N155" s="13" t="s">
        <v>484</v>
      </c>
      <c r="O155" s="16" t="s">
        <v>944</v>
      </c>
      <c r="P155" s="18"/>
    </row>
    <row r="156" spans="1:16" ht="168" customHeight="1">
      <c r="A156" s="6">
        <v>154</v>
      </c>
      <c r="B156" s="6">
        <v>10780875</v>
      </c>
      <c r="C156" s="50" t="s">
        <v>945</v>
      </c>
      <c r="D156" s="10" t="s">
        <v>441</v>
      </c>
      <c r="E156" s="10" t="s">
        <v>441</v>
      </c>
      <c r="F156" s="8" t="s">
        <v>478</v>
      </c>
      <c r="G156" s="16" t="s">
        <v>946</v>
      </c>
      <c r="H156" s="8" t="s">
        <v>441</v>
      </c>
      <c r="I156" s="16" t="s">
        <v>947</v>
      </c>
      <c r="J156" s="12" t="s">
        <v>441</v>
      </c>
      <c r="K156" s="16" t="s">
        <v>948</v>
      </c>
      <c r="L156" s="14" t="s">
        <v>688</v>
      </c>
      <c r="M156" s="14" t="s">
        <v>933</v>
      </c>
      <c r="N156" s="27" t="s">
        <v>445</v>
      </c>
      <c r="O156" s="14" t="s">
        <v>949</v>
      </c>
      <c r="P156" s="18"/>
    </row>
    <row r="157" spans="1:16" ht="42" customHeight="1">
      <c r="A157" s="6">
        <v>155</v>
      </c>
      <c r="B157" s="7">
        <v>39173063</v>
      </c>
      <c r="C157" s="50" t="s">
        <v>950</v>
      </c>
      <c r="D157" s="10" t="s">
        <v>441</v>
      </c>
      <c r="E157" s="10" t="s">
        <v>441</v>
      </c>
      <c r="F157" s="8" t="s">
        <v>442</v>
      </c>
      <c r="G157" s="14" t="s">
        <v>951</v>
      </c>
      <c r="H157" s="14" t="s">
        <v>444</v>
      </c>
      <c r="I157" s="14" t="s">
        <v>444</v>
      </c>
      <c r="J157" s="14" t="s">
        <v>444</v>
      </c>
      <c r="K157" s="14" t="s">
        <v>444</v>
      </c>
      <c r="L157" s="14" t="s">
        <v>444</v>
      </c>
      <c r="M157" s="14" t="s">
        <v>444</v>
      </c>
      <c r="N157" s="27" t="s">
        <v>445</v>
      </c>
      <c r="O157" s="14" t="s">
        <v>952</v>
      </c>
      <c r="P157" s="18"/>
    </row>
    <row r="158" spans="1:16" ht="42" customHeight="1">
      <c r="A158" s="6">
        <v>156</v>
      </c>
      <c r="B158" s="7">
        <v>30949494</v>
      </c>
      <c r="C158" s="50" t="s">
        <v>173</v>
      </c>
      <c r="D158" s="10" t="s">
        <v>441</v>
      </c>
      <c r="E158" s="10" t="s">
        <v>441</v>
      </c>
      <c r="F158" s="8" t="s">
        <v>478</v>
      </c>
      <c r="G158" s="16" t="s">
        <v>953</v>
      </c>
      <c r="H158" s="8" t="s">
        <v>441</v>
      </c>
      <c r="I158" s="12" t="s">
        <v>954</v>
      </c>
      <c r="J158" s="12" t="s">
        <v>441</v>
      </c>
      <c r="K158" s="12" t="s">
        <v>955</v>
      </c>
      <c r="L158" s="12" t="s">
        <v>956</v>
      </c>
      <c r="M158" s="12" t="s">
        <v>957</v>
      </c>
      <c r="N158" s="13" t="s">
        <v>484</v>
      </c>
      <c r="O158" s="16" t="s">
        <v>958</v>
      </c>
      <c r="P158" s="18"/>
    </row>
    <row r="159" spans="1:16" ht="56" customHeight="1">
      <c r="A159" s="6">
        <v>157</v>
      </c>
      <c r="B159" s="7">
        <v>39328640</v>
      </c>
      <c r="C159" s="50" t="s">
        <v>959</v>
      </c>
      <c r="D159" s="10" t="s">
        <v>448</v>
      </c>
      <c r="E159" s="10" t="s">
        <v>444</v>
      </c>
      <c r="F159" s="14" t="s">
        <v>444</v>
      </c>
      <c r="G159" s="14" t="s">
        <v>444</v>
      </c>
      <c r="H159" s="14" t="s">
        <v>444</v>
      </c>
      <c r="I159" s="14" t="s">
        <v>444</v>
      </c>
      <c r="J159" s="14" t="s">
        <v>444</v>
      </c>
      <c r="K159" s="14" t="s">
        <v>444</v>
      </c>
      <c r="L159" s="14" t="s">
        <v>444</v>
      </c>
      <c r="M159" s="14" t="s">
        <v>444</v>
      </c>
      <c r="N159" s="15" t="s">
        <v>445</v>
      </c>
      <c r="O159" s="14" t="s">
        <v>449</v>
      </c>
      <c r="P159" s="18"/>
    </row>
    <row r="160" spans="1:16" ht="56" customHeight="1">
      <c r="A160" s="6">
        <v>158</v>
      </c>
      <c r="B160" s="7">
        <v>38163218</v>
      </c>
      <c r="C160" s="50" t="s">
        <v>960</v>
      </c>
      <c r="D160" s="10" t="s">
        <v>448</v>
      </c>
      <c r="E160" s="10" t="s">
        <v>444</v>
      </c>
      <c r="F160" s="14" t="s">
        <v>444</v>
      </c>
      <c r="G160" s="14" t="s">
        <v>444</v>
      </c>
      <c r="H160" s="14" t="s">
        <v>444</v>
      </c>
      <c r="I160" s="14" t="s">
        <v>444</v>
      </c>
      <c r="J160" s="14" t="s">
        <v>444</v>
      </c>
      <c r="K160" s="14" t="s">
        <v>444</v>
      </c>
      <c r="L160" s="14" t="s">
        <v>444</v>
      </c>
      <c r="M160" s="14" t="s">
        <v>444</v>
      </c>
      <c r="N160" s="15" t="s">
        <v>445</v>
      </c>
      <c r="O160" s="14" t="s">
        <v>449</v>
      </c>
      <c r="P160" s="18"/>
    </row>
    <row r="161" spans="1:16" ht="28" customHeight="1">
      <c r="A161" s="6">
        <v>159</v>
      </c>
      <c r="B161" s="7">
        <v>18670177</v>
      </c>
      <c r="C161" s="50" t="s">
        <v>961</v>
      </c>
      <c r="D161" s="10" t="s">
        <v>441</v>
      </c>
      <c r="E161" s="10" t="s">
        <v>448</v>
      </c>
      <c r="F161" s="14" t="s">
        <v>444</v>
      </c>
      <c r="G161" s="14" t="s">
        <v>444</v>
      </c>
      <c r="H161" s="14" t="s">
        <v>444</v>
      </c>
      <c r="I161" s="14" t="s">
        <v>444</v>
      </c>
      <c r="J161" s="14" t="s">
        <v>444</v>
      </c>
      <c r="K161" s="14" t="s">
        <v>444</v>
      </c>
      <c r="L161" s="14" t="s">
        <v>444</v>
      </c>
      <c r="M161" s="14" t="s">
        <v>444</v>
      </c>
      <c r="N161" s="15" t="s">
        <v>445</v>
      </c>
      <c r="O161" s="14" t="s">
        <v>962</v>
      </c>
      <c r="P161" s="18"/>
    </row>
    <row r="162" spans="1:16" ht="42" customHeight="1">
      <c r="A162" s="6">
        <v>160</v>
      </c>
      <c r="B162" s="7">
        <v>16497088</v>
      </c>
      <c r="C162" s="50" t="s">
        <v>963</v>
      </c>
      <c r="D162" s="10" t="s">
        <v>448</v>
      </c>
      <c r="E162" s="10" t="s">
        <v>444</v>
      </c>
      <c r="F162" s="14" t="s">
        <v>444</v>
      </c>
      <c r="G162" s="14" t="s">
        <v>444</v>
      </c>
      <c r="H162" s="14" t="s">
        <v>444</v>
      </c>
      <c r="I162" s="14" t="s">
        <v>444</v>
      </c>
      <c r="J162" s="14" t="s">
        <v>444</v>
      </c>
      <c r="K162" s="14" t="s">
        <v>444</v>
      </c>
      <c r="L162" s="14" t="s">
        <v>444</v>
      </c>
      <c r="M162" s="14" t="s">
        <v>444</v>
      </c>
      <c r="N162" s="15" t="s">
        <v>445</v>
      </c>
      <c r="O162" s="14" t="s">
        <v>449</v>
      </c>
      <c r="P162" s="18"/>
    </row>
    <row r="163" spans="1:16" ht="56" customHeight="1">
      <c r="A163" s="6">
        <v>161</v>
      </c>
      <c r="B163" s="7">
        <v>31659242</v>
      </c>
      <c r="C163" s="50" t="s">
        <v>217</v>
      </c>
      <c r="D163" s="10" t="s">
        <v>441</v>
      </c>
      <c r="E163" s="10" t="s">
        <v>441</v>
      </c>
      <c r="F163" s="8" t="s">
        <v>478</v>
      </c>
      <c r="G163" s="16" t="s">
        <v>964</v>
      </c>
      <c r="H163" s="8" t="s">
        <v>441</v>
      </c>
      <c r="I163" s="12" t="s">
        <v>965</v>
      </c>
      <c r="J163" s="12" t="s">
        <v>441</v>
      </c>
      <c r="K163" s="12" t="s">
        <v>966</v>
      </c>
      <c r="L163" s="12" t="s">
        <v>967</v>
      </c>
      <c r="M163" s="12" t="s">
        <v>968</v>
      </c>
      <c r="N163" s="13" t="s">
        <v>484</v>
      </c>
      <c r="O163" s="16" t="s">
        <v>969</v>
      </c>
      <c r="P163" s="18"/>
    </row>
    <row r="164" spans="1:16" ht="42" customHeight="1">
      <c r="A164" s="6">
        <v>162</v>
      </c>
      <c r="B164" s="7">
        <v>37091011</v>
      </c>
      <c r="C164" s="50" t="s">
        <v>970</v>
      </c>
      <c r="D164" s="10" t="s">
        <v>448</v>
      </c>
      <c r="E164" s="10" t="s">
        <v>444</v>
      </c>
      <c r="F164" s="14" t="s">
        <v>444</v>
      </c>
      <c r="G164" s="14" t="s">
        <v>444</v>
      </c>
      <c r="H164" s="14" t="s">
        <v>444</v>
      </c>
      <c r="I164" s="14" t="s">
        <v>444</v>
      </c>
      <c r="J164" s="14" t="s">
        <v>444</v>
      </c>
      <c r="K164" s="14" t="s">
        <v>444</v>
      </c>
      <c r="L164" s="14" t="s">
        <v>444</v>
      </c>
      <c r="M164" s="14" t="s">
        <v>444</v>
      </c>
      <c r="N164" s="15" t="s">
        <v>445</v>
      </c>
      <c r="O164" s="14" t="s">
        <v>449</v>
      </c>
      <c r="P164" s="18"/>
    </row>
    <row r="165" spans="1:16" ht="42" customHeight="1">
      <c r="A165" s="6">
        <v>163</v>
      </c>
      <c r="B165" s="7">
        <v>33084110</v>
      </c>
      <c r="C165" s="50" t="s">
        <v>971</v>
      </c>
      <c r="D165" s="10" t="s">
        <v>441</v>
      </c>
      <c r="E165" s="10" t="s">
        <v>441</v>
      </c>
      <c r="F165" s="8" t="s">
        <v>478</v>
      </c>
      <c r="G165" s="16" t="s">
        <v>972</v>
      </c>
      <c r="H165" s="8" t="s">
        <v>448</v>
      </c>
      <c r="I165" s="14" t="s">
        <v>973</v>
      </c>
      <c r="J165" s="14" t="s">
        <v>444</v>
      </c>
      <c r="K165" s="14" t="s">
        <v>444</v>
      </c>
      <c r="L165" s="14" t="s">
        <v>444</v>
      </c>
      <c r="M165" s="14" t="s">
        <v>444</v>
      </c>
      <c r="N165" s="27" t="s">
        <v>445</v>
      </c>
      <c r="O165" s="14" t="s">
        <v>974</v>
      </c>
      <c r="P165" s="18"/>
    </row>
    <row r="166" spans="1:16" ht="84" customHeight="1">
      <c r="A166" s="6">
        <v>164</v>
      </c>
      <c r="B166" s="7">
        <v>32386222</v>
      </c>
      <c r="C166" s="50" t="s">
        <v>975</v>
      </c>
      <c r="D166" s="10" t="s">
        <v>441</v>
      </c>
      <c r="E166" s="10" t="s">
        <v>441</v>
      </c>
      <c r="F166" s="8" t="s">
        <v>478</v>
      </c>
      <c r="G166" s="16" t="s">
        <v>976</v>
      </c>
      <c r="H166" s="8" t="s">
        <v>441</v>
      </c>
      <c r="I166" s="12" t="s">
        <v>977</v>
      </c>
      <c r="J166" s="12" t="s">
        <v>441</v>
      </c>
      <c r="K166" s="12" t="s">
        <v>978</v>
      </c>
      <c r="L166" s="12" t="s">
        <v>979</v>
      </c>
      <c r="M166" s="12" t="s">
        <v>943</v>
      </c>
      <c r="N166" s="13" t="s">
        <v>484</v>
      </c>
      <c r="O166" s="16" t="s">
        <v>980</v>
      </c>
      <c r="P166" s="18"/>
    </row>
    <row r="167" spans="1:16" ht="28" customHeight="1">
      <c r="A167" s="6">
        <v>165</v>
      </c>
      <c r="B167" s="7">
        <v>32624603</v>
      </c>
      <c r="C167" s="50" t="s">
        <v>981</v>
      </c>
      <c r="D167" s="10" t="s">
        <v>441</v>
      </c>
      <c r="E167" s="10" t="s">
        <v>441</v>
      </c>
      <c r="F167" s="8" t="s">
        <v>478</v>
      </c>
      <c r="G167" s="16" t="s">
        <v>982</v>
      </c>
      <c r="H167" s="8" t="s">
        <v>448</v>
      </c>
      <c r="I167" s="14" t="s">
        <v>983</v>
      </c>
      <c r="J167" s="14" t="s">
        <v>444</v>
      </c>
      <c r="K167" s="14" t="s">
        <v>444</v>
      </c>
      <c r="L167" s="14" t="s">
        <v>444</v>
      </c>
      <c r="M167" s="14" t="s">
        <v>444</v>
      </c>
      <c r="N167" s="27" t="s">
        <v>445</v>
      </c>
      <c r="O167" s="14" t="s">
        <v>984</v>
      </c>
      <c r="P167" s="18"/>
    </row>
    <row r="168" spans="1:16" ht="28" customHeight="1">
      <c r="A168" s="6">
        <v>166</v>
      </c>
      <c r="B168" s="7">
        <v>22260132</v>
      </c>
      <c r="C168" s="50" t="s">
        <v>985</v>
      </c>
      <c r="D168" s="10" t="s">
        <v>441</v>
      </c>
      <c r="E168" s="10" t="s">
        <v>441</v>
      </c>
      <c r="F168" s="8" t="s">
        <v>478</v>
      </c>
      <c r="G168" s="16" t="s">
        <v>986</v>
      </c>
      <c r="H168" s="8" t="s">
        <v>448</v>
      </c>
      <c r="I168" s="14" t="s">
        <v>987</v>
      </c>
      <c r="J168" s="14" t="s">
        <v>444</v>
      </c>
      <c r="K168" s="14" t="s">
        <v>444</v>
      </c>
      <c r="L168" s="14" t="s">
        <v>444</v>
      </c>
      <c r="M168" s="14" t="s">
        <v>444</v>
      </c>
      <c r="N168" s="27" t="s">
        <v>445</v>
      </c>
      <c r="O168" s="14" t="s">
        <v>988</v>
      </c>
      <c r="P168" s="18"/>
    </row>
    <row r="169" spans="1:16" ht="42" customHeight="1">
      <c r="A169" s="6">
        <v>167</v>
      </c>
      <c r="B169" s="7">
        <v>33047816</v>
      </c>
      <c r="C169" s="50" t="s">
        <v>989</v>
      </c>
      <c r="D169" s="10" t="s">
        <v>441</v>
      </c>
      <c r="E169" s="10" t="s">
        <v>441</v>
      </c>
      <c r="F169" s="8" t="s">
        <v>442</v>
      </c>
      <c r="G169" s="14" t="s">
        <v>990</v>
      </c>
      <c r="H169" s="14" t="s">
        <v>444</v>
      </c>
      <c r="I169" s="14" t="s">
        <v>444</v>
      </c>
      <c r="J169" s="14" t="s">
        <v>444</v>
      </c>
      <c r="K169" s="14" t="s">
        <v>444</v>
      </c>
      <c r="L169" s="14" t="s">
        <v>444</v>
      </c>
      <c r="M169" s="14" t="s">
        <v>444</v>
      </c>
      <c r="N169" s="15" t="s">
        <v>445</v>
      </c>
      <c r="O169" s="14" t="s">
        <v>991</v>
      </c>
      <c r="P169" s="18"/>
    </row>
    <row r="170" spans="1:16" ht="28" customHeight="1">
      <c r="A170" s="6">
        <v>168</v>
      </c>
      <c r="B170" s="7">
        <v>39709632</v>
      </c>
      <c r="C170" s="50" t="s">
        <v>992</v>
      </c>
      <c r="D170" s="10" t="s">
        <v>448</v>
      </c>
      <c r="E170" s="10" t="s">
        <v>444</v>
      </c>
      <c r="F170" s="14" t="s">
        <v>444</v>
      </c>
      <c r="G170" s="14" t="s">
        <v>444</v>
      </c>
      <c r="H170" s="14" t="s">
        <v>444</v>
      </c>
      <c r="I170" s="14" t="s">
        <v>444</v>
      </c>
      <c r="J170" s="14" t="s">
        <v>444</v>
      </c>
      <c r="K170" s="14" t="s">
        <v>444</v>
      </c>
      <c r="L170" s="14" t="s">
        <v>444</v>
      </c>
      <c r="M170" s="14" t="s">
        <v>444</v>
      </c>
      <c r="N170" s="15" t="s">
        <v>445</v>
      </c>
      <c r="O170" s="14" t="s">
        <v>449</v>
      </c>
      <c r="P170" s="18"/>
    </row>
    <row r="171" spans="1:16" ht="56" customHeight="1">
      <c r="A171" s="6">
        <v>169</v>
      </c>
      <c r="B171" s="7">
        <v>35792680</v>
      </c>
      <c r="C171" s="50" t="s">
        <v>993</v>
      </c>
      <c r="D171" s="10" t="s">
        <v>448</v>
      </c>
      <c r="E171" s="10" t="s">
        <v>444</v>
      </c>
      <c r="F171" s="14" t="s">
        <v>444</v>
      </c>
      <c r="G171" s="14" t="s">
        <v>444</v>
      </c>
      <c r="H171" s="14" t="s">
        <v>444</v>
      </c>
      <c r="I171" s="14" t="s">
        <v>444</v>
      </c>
      <c r="J171" s="14" t="s">
        <v>444</v>
      </c>
      <c r="K171" s="14" t="s">
        <v>444</v>
      </c>
      <c r="L171" s="14" t="s">
        <v>444</v>
      </c>
      <c r="M171" s="14" t="s">
        <v>444</v>
      </c>
      <c r="N171" s="15" t="s">
        <v>445</v>
      </c>
      <c r="O171" s="14" t="s">
        <v>449</v>
      </c>
      <c r="P171" s="18"/>
    </row>
    <row r="172" spans="1:16" ht="56" customHeight="1">
      <c r="A172" s="6">
        <v>170</v>
      </c>
      <c r="B172" s="7">
        <v>37962037</v>
      </c>
      <c r="C172" s="50" t="s">
        <v>994</v>
      </c>
      <c r="D172" s="10" t="s">
        <v>448</v>
      </c>
      <c r="E172" s="10" t="s">
        <v>444</v>
      </c>
      <c r="F172" s="14" t="s">
        <v>444</v>
      </c>
      <c r="G172" s="14" t="s">
        <v>444</v>
      </c>
      <c r="H172" s="14" t="s">
        <v>444</v>
      </c>
      <c r="I172" s="14" t="s">
        <v>444</v>
      </c>
      <c r="J172" s="14" t="s">
        <v>444</v>
      </c>
      <c r="K172" s="14" t="s">
        <v>444</v>
      </c>
      <c r="L172" s="14" t="s">
        <v>444</v>
      </c>
      <c r="M172" s="14" t="s">
        <v>444</v>
      </c>
      <c r="N172" s="15" t="s">
        <v>445</v>
      </c>
      <c r="O172" s="14" t="s">
        <v>449</v>
      </c>
      <c r="P172" s="18"/>
    </row>
    <row r="173" spans="1:16" ht="42" customHeight="1">
      <c r="A173" s="6">
        <v>171</v>
      </c>
      <c r="B173" s="7">
        <v>16549460</v>
      </c>
      <c r="C173" s="50" t="s">
        <v>995</v>
      </c>
      <c r="D173" s="10" t="s">
        <v>441</v>
      </c>
      <c r="E173" s="10" t="s">
        <v>441</v>
      </c>
      <c r="F173" s="8" t="s">
        <v>478</v>
      </c>
      <c r="G173" s="16" t="s">
        <v>996</v>
      </c>
      <c r="H173" s="8" t="s">
        <v>441</v>
      </c>
      <c r="I173" s="12" t="s">
        <v>997</v>
      </c>
      <c r="J173" s="12" t="s">
        <v>441</v>
      </c>
      <c r="K173" s="12" t="s">
        <v>998</v>
      </c>
      <c r="L173" s="12" t="s">
        <v>999</v>
      </c>
      <c r="M173" s="12" t="s">
        <v>968</v>
      </c>
      <c r="N173" s="31" t="s">
        <v>484</v>
      </c>
      <c r="O173" s="16" t="s">
        <v>1000</v>
      </c>
      <c r="P173" s="18"/>
    </row>
    <row r="174" spans="1:16" ht="42" customHeight="1">
      <c r="A174" s="6">
        <v>172</v>
      </c>
      <c r="B174" s="7">
        <v>32867376</v>
      </c>
      <c r="C174" s="50" t="s">
        <v>1001</v>
      </c>
      <c r="D174" s="10" t="s">
        <v>441</v>
      </c>
      <c r="E174" s="10" t="s">
        <v>441</v>
      </c>
      <c r="F174" s="8" t="s">
        <v>478</v>
      </c>
      <c r="G174" s="16" t="s">
        <v>1002</v>
      </c>
      <c r="H174" s="14" t="s">
        <v>448</v>
      </c>
      <c r="I174" s="14" t="s">
        <v>1003</v>
      </c>
      <c r="J174" s="14" t="s">
        <v>444</v>
      </c>
      <c r="K174" s="14" t="s">
        <v>444</v>
      </c>
      <c r="L174" s="14" t="s">
        <v>444</v>
      </c>
      <c r="M174" s="14" t="s">
        <v>444</v>
      </c>
      <c r="N174" s="27" t="s">
        <v>445</v>
      </c>
      <c r="O174" s="14" t="s">
        <v>1004</v>
      </c>
      <c r="P174" s="18"/>
    </row>
    <row r="175" spans="1:16" ht="56" customHeight="1">
      <c r="A175" s="6">
        <v>173</v>
      </c>
      <c r="B175" s="7">
        <v>32042381</v>
      </c>
      <c r="C175" s="50" t="s">
        <v>1005</v>
      </c>
      <c r="D175" s="10" t="s">
        <v>448</v>
      </c>
      <c r="E175" s="10" t="s">
        <v>444</v>
      </c>
      <c r="F175" s="14" t="s">
        <v>444</v>
      </c>
      <c r="G175" s="14" t="s">
        <v>444</v>
      </c>
      <c r="H175" s="14" t="s">
        <v>444</v>
      </c>
      <c r="I175" s="14" t="s">
        <v>444</v>
      </c>
      <c r="J175" s="14" t="s">
        <v>444</v>
      </c>
      <c r="K175" s="14" t="s">
        <v>444</v>
      </c>
      <c r="L175" s="14" t="s">
        <v>444</v>
      </c>
      <c r="M175" s="14" t="s">
        <v>444</v>
      </c>
      <c r="N175" s="15" t="s">
        <v>445</v>
      </c>
      <c r="O175" s="14" t="s">
        <v>449</v>
      </c>
      <c r="P175" s="18"/>
    </row>
    <row r="176" spans="1:16" ht="42" customHeight="1">
      <c r="A176" s="6">
        <v>174</v>
      </c>
      <c r="B176" s="7">
        <v>34220240</v>
      </c>
      <c r="C176" s="50" t="s">
        <v>1006</v>
      </c>
      <c r="D176" s="10" t="s">
        <v>441</v>
      </c>
      <c r="E176" s="10" t="s">
        <v>441</v>
      </c>
      <c r="F176" s="8" t="s">
        <v>478</v>
      </c>
      <c r="G176" s="16" t="s">
        <v>1007</v>
      </c>
      <c r="H176" s="14" t="s">
        <v>448</v>
      </c>
      <c r="I176" s="14" t="s">
        <v>1008</v>
      </c>
      <c r="J176" s="14" t="s">
        <v>444</v>
      </c>
      <c r="K176" s="14" t="s">
        <v>444</v>
      </c>
      <c r="L176" s="14" t="s">
        <v>444</v>
      </c>
      <c r="M176" s="14" t="s">
        <v>444</v>
      </c>
      <c r="N176" s="27" t="s">
        <v>445</v>
      </c>
      <c r="O176" s="14" t="s">
        <v>1009</v>
      </c>
      <c r="P176" s="18"/>
    </row>
    <row r="177" spans="1:16" ht="56" customHeight="1">
      <c r="A177" s="6">
        <v>175</v>
      </c>
      <c r="B177" s="6">
        <v>34770830</v>
      </c>
      <c r="C177" s="50" t="s">
        <v>1010</v>
      </c>
      <c r="D177" s="10" t="s">
        <v>441</v>
      </c>
      <c r="E177" s="10" t="s">
        <v>441</v>
      </c>
      <c r="F177" s="8" t="s">
        <v>478</v>
      </c>
      <c r="G177" s="16" t="s">
        <v>1011</v>
      </c>
      <c r="H177" s="8" t="s">
        <v>441</v>
      </c>
      <c r="I177" s="16" t="s">
        <v>1012</v>
      </c>
      <c r="J177" s="12" t="s">
        <v>441</v>
      </c>
      <c r="K177" s="16" t="s">
        <v>1013</v>
      </c>
      <c r="L177" s="14" t="s">
        <v>688</v>
      </c>
      <c r="M177" s="14" t="s">
        <v>1014</v>
      </c>
      <c r="N177" s="27" t="s">
        <v>445</v>
      </c>
      <c r="O177" s="14" t="s">
        <v>1015</v>
      </c>
      <c r="P177" s="18"/>
    </row>
    <row r="178" spans="1:16" ht="42" customHeight="1">
      <c r="A178" s="6">
        <v>176</v>
      </c>
      <c r="B178" s="7">
        <v>34930215</v>
      </c>
      <c r="C178" s="50" t="s">
        <v>1016</v>
      </c>
      <c r="D178" s="10" t="s">
        <v>441</v>
      </c>
      <c r="E178" s="10" t="s">
        <v>441</v>
      </c>
      <c r="F178" s="8" t="s">
        <v>478</v>
      </c>
      <c r="G178" s="16" t="s">
        <v>1017</v>
      </c>
      <c r="H178" s="8" t="s">
        <v>448</v>
      </c>
      <c r="I178" s="14" t="s">
        <v>1018</v>
      </c>
      <c r="J178" s="14" t="s">
        <v>444</v>
      </c>
      <c r="K178" s="14" t="s">
        <v>444</v>
      </c>
      <c r="L178" s="14" t="s">
        <v>444</v>
      </c>
      <c r="M178" s="14" t="s">
        <v>444</v>
      </c>
      <c r="N178" s="27" t="s">
        <v>445</v>
      </c>
      <c r="O178" s="14" t="s">
        <v>1019</v>
      </c>
      <c r="P178" s="18"/>
    </row>
    <row r="179" spans="1:16" ht="28" customHeight="1">
      <c r="A179" s="6">
        <v>177</v>
      </c>
      <c r="B179" s="6">
        <v>11483389</v>
      </c>
      <c r="C179" s="50" t="s">
        <v>1020</v>
      </c>
      <c r="D179" s="10" t="s">
        <v>441</v>
      </c>
      <c r="E179" s="10" t="s">
        <v>441</v>
      </c>
      <c r="F179" s="8" t="s">
        <v>478</v>
      </c>
      <c r="G179" s="16" t="s">
        <v>1021</v>
      </c>
      <c r="H179" s="8" t="s">
        <v>441</v>
      </c>
      <c r="I179" s="16" t="s">
        <v>1022</v>
      </c>
      <c r="J179" s="12" t="s">
        <v>441</v>
      </c>
      <c r="K179" s="16" t="s">
        <v>1023</v>
      </c>
      <c r="L179" s="14" t="s">
        <v>688</v>
      </c>
      <c r="M179" s="14" t="s">
        <v>1024</v>
      </c>
      <c r="N179" s="27" t="s">
        <v>445</v>
      </c>
      <c r="O179" s="14" t="s">
        <v>1025</v>
      </c>
      <c r="P179" s="18"/>
    </row>
    <row r="180" spans="1:16" ht="28" customHeight="1">
      <c r="A180" s="6">
        <v>178</v>
      </c>
      <c r="B180" s="7">
        <v>29192707</v>
      </c>
      <c r="C180" s="50" t="s">
        <v>1026</v>
      </c>
      <c r="D180" s="10" t="s">
        <v>441</v>
      </c>
      <c r="E180" s="10" t="s">
        <v>441</v>
      </c>
      <c r="F180" s="8" t="s">
        <v>478</v>
      </c>
      <c r="G180" s="16" t="s">
        <v>1027</v>
      </c>
      <c r="H180" s="8" t="s">
        <v>448</v>
      </c>
      <c r="I180" s="14" t="s">
        <v>1028</v>
      </c>
      <c r="J180" s="14" t="s">
        <v>444</v>
      </c>
      <c r="K180" s="14" t="s">
        <v>444</v>
      </c>
      <c r="L180" s="14" t="s">
        <v>444</v>
      </c>
      <c r="M180" s="14" t="s">
        <v>444</v>
      </c>
      <c r="N180" s="27" t="s">
        <v>445</v>
      </c>
      <c r="O180" s="14" t="s">
        <v>1029</v>
      </c>
      <c r="P180" s="18"/>
    </row>
    <row r="181" spans="1:16" ht="56" customHeight="1">
      <c r="A181" s="6">
        <v>179</v>
      </c>
      <c r="B181" s="7">
        <v>39195831</v>
      </c>
      <c r="C181" s="50" t="s">
        <v>1030</v>
      </c>
      <c r="D181" s="10" t="s">
        <v>441</v>
      </c>
      <c r="E181" s="10" t="s">
        <v>441</v>
      </c>
      <c r="F181" s="8" t="s">
        <v>478</v>
      </c>
      <c r="G181" s="16" t="s">
        <v>1031</v>
      </c>
      <c r="H181" s="8" t="s">
        <v>448</v>
      </c>
      <c r="I181" s="14" t="s">
        <v>1032</v>
      </c>
      <c r="J181" s="14" t="s">
        <v>444</v>
      </c>
      <c r="K181" s="14" t="s">
        <v>444</v>
      </c>
      <c r="L181" s="14" t="s">
        <v>444</v>
      </c>
      <c r="M181" s="14" t="s">
        <v>444</v>
      </c>
      <c r="N181" s="27" t="s">
        <v>445</v>
      </c>
      <c r="O181" s="14" t="s">
        <v>1033</v>
      </c>
      <c r="P181" s="18"/>
    </row>
    <row r="182" spans="1:16" ht="28" customHeight="1">
      <c r="A182" s="6">
        <v>180</v>
      </c>
      <c r="B182" s="7">
        <v>32287362</v>
      </c>
      <c r="C182" s="50" t="s">
        <v>1034</v>
      </c>
      <c r="D182" s="10" t="s">
        <v>441</v>
      </c>
      <c r="E182" s="10" t="s">
        <v>441</v>
      </c>
      <c r="F182" s="8" t="s">
        <v>442</v>
      </c>
      <c r="G182" s="14" t="s">
        <v>1035</v>
      </c>
      <c r="H182" s="14" t="s">
        <v>444</v>
      </c>
      <c r="I182" s="14" t="s">
        <v>444</v>
      </c>
      <c r="J182" s="14" t="s">
        <v>444</v>
      </c>
      <c r="K182" s="14" t="s">
        <v>444</v>
      </c>
      <c r="L182" s="14" t="s">
        <v>444</v>
      </c>
      <c r="M182" s="14" t="s">
        <v>444</v>
      </c>
      <c r="N182" s="15" t="s">
        <v>445</v>
      </c>
      <c r="O182" s="14" t="s">
        <v>1036</v>
      </c>
      <c r="P182" s="18"/>
    </row>
    <row r="183" spans="1:16" ht="42" customHeight="1">
      <c r="A183" s="6">
        <v>181</v>
      </c>
      <c r="B183" s="7">
        <v>40752204</v>
      </c>
      <c r="C183" s="50" t="s">
        <v>1037</v>
      </c>
      <c r="D183" s="10" t="s">
        <v>448</v>
      </c>
      <c r="E183" s="10" t="s">
        <v>444</v>
      </c>
      <c r="F183" s="14" t="s">
        <v>444</v>
      </c>
      <c r="G183" s="14" t="s">
        <v>444</v>
      </c>
      <c r="H183" s="14" t="s">
        <v>444</v>
      </c>
      <c r="I183" s="14" t="s">
        <v>444</v>
      </c>
      <c r="J183" s="14" t="s">
        <v>444</v>
      </c>
      <c r="K183" s="14" t="s">
        <v>444</v>
      </c>
      <c r="L183" s="14" t="s">
        <v>444</v>
      </c>
      <c r="M183" s="14" t="s">
        <v>444</v>
      </c>
      <c r="N183" s="15" t="s">
        <v>445</v>
      </c>
      <c r="O183" s="14" t="s">
        <v>449</v>
      </c>
      <c r="P183" s="18"/>
    </row>
    <row r="184" spans="1:16" ht="28" customHeight="1">
      <c r="A184" s="6">
        <v>182</v>
      </c>
      <c r="B184" s="7">
        <v>19908186</v>
      </c>
      <c r="C184" s="50" t="s">
        <v>1038</v>
      </c>
      <c r="D184" s="10" t="s">
        <v>441</v>
      </c>
      <c r="E184" s="10" t="s">
        <v>441</v>
      </c>
      <c r="F184" s="8" t="s">
        <v>442</v>
      </c>
      <c r="G184" s="14" t="s">
        <v>1039</v>
      </c>
      <c r="H184" s="14" t="s">
        <v>444</v>
      </c>
      <c r="I184" s="14" t="s">
        <v>444</v>
      </c>
      <c r="J184" s="14" t="s">
        <v>444</v>
      </c>
      <c r="K184" s="14" t="s">
        <v>444</v>
      </c>
      <c r="L184" s="14" t="s">
        <v>444</v>
      </c>
      <c r="M184" s="14" t="s">
        <v>444</v>
      </c>
      <c r="N184" s="27" t="s">
        <v>445</v>
      </c>
      <c r="O184" s="14" t="s">
        <v>1040</v>
      </c>
      <c r="P184" s="18"/>
    </row>
    <row r="185" spans="1:16" ht="56" customHeight="1">
      <c r="A185" s="6">
        <v>183</v>
      </c>
      <c r="B185" s="7">
        <v>34917428</v>
      </c>
      <c r="C185" s="50" t="s">
        <v>1041</v>
      </c>
      <c r="D185" s="10" t="s">
        <v>441</v>
      </c>
      <c r="E185" s="10" t="s">
        <v>441</v>
      </c>
      <c r="F185" s="8" t="s">
        <v>442</v>
      </c>
      <c r="G185" s="14" t="s">
        <v>1042</v>
      </c>
      <c r="H185" s="14" t="s">
        <v>444</v>
      </c>
      <c r="I185" s="14" t="s">
        <v>444</v>
      </c>
      <c r="J185" s="14" t="s">
        <v>444</v>
      </c>
      <c r="K185" s="14" t="s">
        <v>444</v>
      </c>
      <c r="L185" s="14" t="s">
        <v>444</v>
      </c>
      <c r="M185" s="14" t="s">
        <v>444</v>
      </c>
      <c r="N185" s="27" t="s">
        <v>445</v>
      </c>
      <c r="O185" s="14" t="s">
        <v>1043</v>
      </c>
      <c r="P185" s="18"/>
    </row>
    <row r="186" spans="1:16" ht="42" customHeight="1">
      <c r="A186" s="6">
        <v>184</v>
      </c>
      <c r="B186" s="7">
        <v>33671262</v>
      </c>
      <c r="C186" s="50" t="s">
        <v>1044</v>
      </c>
      <c r="D186" s="10" t="s">
        <v>441</v>
      </c>
      <c r="E186" s="10" t="s">
        <v>441</v>
      </c>
      <c r="F186" s="8" t="s">
        <v>478</v>
      </c>
      <c r="G186" s="16" t="s">
        <v>1045</v>
      </c>
      <c r="H186" s="8" t="s">
        <v>448</v>
      </c>
      <c r="I186" s="14" t="s">
        <v>1046</v>
      </c>
      <c r="J186" s="14" t="s">
        <v>444</v>
      </c>
      <c r="K186" s="14" t="s">
        <v>444</v>
      </c>
      <c r="L186" s="14" t="s">
        <v>444</v>
      </c>
      <c r="M186" s="14" t="s">
        <v>444</v>
      </c>
      <c r="N186" s="27" t="s">
        <v>445</v>
      </c>
      <c r="O186" s="14" t="s">
        <v>1047</v>
      </c>
      <c r="P186" s="18"/>
    </row>
    <row r="187" spans="1:16" ht="28" customHeight="1">
      <c r="A187" s="6">
        <v>185</v>
      </c>
      <c r="B187" s="7">
        <v>20497570</v>
      </c>
      <c r="C187" s="50" t="s">
        <v>1048</v>
      </c>
      <c r="D187" s="10" t="s">
        <v>441</v>
      </c>
      <c r="E187" s="10" t="s">
        <v>441</v>
      </c>
      <c r="F187" s="8" t="s">
        <v>442</v>
      </c>
      <c r="G187" s="14" t="s">
        <v>1049</v>
      </c>
      <c r="H187" s="14" t="s">
        <v>444</v>
      </c>
      <c r="I187" s="14" t="s">
        <v>444</v>
      </c>
      <c r="J187" s="14" t="s">
        <v>444</v>
      </c>
      <c r="K187" s="14" t="s">
        <v>444</v>
      </c>
      <c r="L187" s="14" t="s">
        <v>444</v>
      </c>
      <c r="M187" s="14" t="s">
        <v>444</v>
      </c>
      <c r="N187" s="27" t="s">
        <v>445</v>
      </c>
      <c r="O187" s="14" t="s">
        <v>1050</v>
      </c>
      <c r="P187" s="18"/>
    </row>
    <row r="188" spans="1:16" ht="56" customHeight="1">
      <c r="A188" s="6">
        <v>186</v>
      </c>
      <c r="B188" s="7">
        <v>34443424</v>
      </c>
      <c r="C188" s="50" t="s">
        <v>1051</v>
      </c>
      <c r="D188" s="10" t="s">
        <v>441</v>
      </c>
      <c r="E188" s="10" t="s">
        <v>441</v>
      </c>
      <c r="F188" s="8" t="s">
        <v>478</v>
      </c>
      <c r="G188" s="16" t="s">
        <v>1052</v>
      </c>
      <c r="H188" s="8" t="s">
        <v>448</v>
      </c>
      <c r="I188" s="14" t="s">
        <v>1053</v>
      </c>
      <c r="J188" s="14" t="s">
        <v>444</v>
      </c>
      <c r="K188" s="14" t="s">
        <v>444</v>
      </c>
      <c r="L188" s="14" t="s">
        <v>444</v>
      </c>
      <c r="M188" s="14" t="s">
        <v>444</v>
      </c>
      <c r="N188" s="27" t="s">
        <v>445</v>
      </c>
      <c r="O188" s="14" t="s">
        <v>1054</v>
      </c>
      <c r="P188" s="18"/>
    </row>
    <row r="189" spans="1:16" ht="42" customHeight="1">
      <c r="A189" s="6">
        <v>187</v>
      </c>
      <c r="B189" s="7">
        <v>23056141</v>
      </c>
      <c r="C189" s="50" t="s">
        <v>1055</v>
      </c>
      <c r="D189" s="10" t="s">
        <v>441</v>
      </c>
      <c r="E189" s="10" t="s">
        <v>441</v>
      </c>
      <c r="F189" s="8" t="s">
        <v>442</v>
      </c>
      <c r="G189" s="14" t="s">
        <v>1056</v>
      </c>
      <c r="H189" s="14" t="s">
        <v>444</v>
      </c>
      <c r="I189" s="14" t="s">
        <v>444</v>
      </c>
      <c r="J189" s="14" t="s">
        <v>444</v>
      </c>
      <c r="K189" s="14" t="s">
        <v>444</v>
      </c>
      <c r="L189" s="14" t="s">
        <v>444</v>
      </c>
      <c r="M189" s="14" t="s">
        <v>444</v>
      </c>
      <c r="N189" s="27" t="s">
        <v>445</v>
      </c>
      <c r="O189" s="14" t="s">
        <v>1057</v>
      </c>
      <c r="P189" s="18"/>
    </row>
    <row r="190" spans="1:16" ht="56" customHeight="1">
      <c r="A190" s="6">
        <v>188</v>
      </c>
      <c r="B190" s="7">
        <v>38257142</v>
      </c>
      <c r="C190" s="50" t="s">
        <v>1058</v>
      </c>
      <c r="D190" s="10" t="s">
        <v>441</v>
      </c>
      <c r="E190" s="10" t="s">
        <v>441</v>
      </c>
      <c r="F190" s="8" t="s">
        <v>478</v>
      </c>
      <c r="G190" s="16" t="s">
        <v>1059</v>
      </c>
      <c r="H190" s="8" t="s">
        <v>448</v>
      </c>
      <c r="I190" s="14" t="s">
        <v>1060</v>
      </c>
      <c r="J190" s="14" t="s">
        <v>444</v>
      </c>
      <c r="K190" s="14" t="s">
        <v>444</v>
      </c>
      <c r="L190" s="14" t="s">
        <v>444</v>
      </c>
      <c r="M190" s="14" t="s">
        <v>444</v>
      </c>
      <c r="N190" s="27" t="s">
        <v>445</v>
      </c>
      <c r="O190" s="14" t="s">
        <v>1061</v>
      </c>
      <c r="P190" s="18"/>
    </row>
    <row r="191" spans="1:16" ht="56" customHeight="1">
      <c r="A191" s="6">
        <v>189</v>
      </c>
      <c r="B191" s="7">
        <v>37855230</v>
      </c>
      <c r="C191" s="50" t="s">
        <v>1062</v>
      </c>
      <c r="D191" s="10" t="s">
        <v>448</v>
      </c>
      <c r="E191" s="10" t="s">
        <v>444</v>
      </c>
      <c r="F191" s="14" t="s">
        <v>444</v>
      </c>
      <c r="G191" s="14" t="s">
        <v>444</v>
      </c>
      <c r="H191" s="14" t="s">
        <v>444</v>
      </c>
      <c r="I191" s="14" t="s">
        <v>444</v>
      </c>
      <c r="J191" s="14" t="s">
        <v>444</v>
      </c>
      <c r="K191" s="14" t="s">
        <v>444</v>
      </c>
      <c r="L191" s="14" t="s">
        <v>444</v>
      </c>
      <c r="M191" s="14" t="s">
        <v>444</v>
      </c>
      <c r="N191" s="15" t="s">
        <v>445</v>
      </c>
      <c r="O191" s="14" t="s">
        <v>449</v>
      </c>
      <c r="P191" s="18"/>
    </row>
    <row r="192" spans="1:16" ht="56" customHeight="1">
      <c r="A192" s="6">
        <v>190</v>
      </c>
      <c r="B192" s="7">
        <v>22980836</v>
      </c>
      <c r="C192" s="50" t="s">
        <v>1063</v>
      </c>
      <c r="D192" s="10" t="s">
        <v>441</v>
      </c>
      <c r="E192" s="10" t="s">
        <v>441</v>
      </c>
      <c r="F192" s="8" t="s">
        <v>478</v>
      </c>
      <c r="G192" s="16" t="s">
        <v>1064</v>
      </c>
      <c r="H192" s="14" t="s">
        <v>448</v>
      </c>
      <c r="I192" s="14" t="s">
        <v>1065</v>
      </c>
      <c r="J192" s="14" t="s">
        <v>444</v>
      </c>
      <c r="K192" s="14" t="s">
        <v>444</v>
      </c>
      <c r="L192" s="14" t="s">
        <v>444</v>
      </c>
      <c r="M192" s="14" t="s">
        <v>444</v>
      </c>
      <c r="N192" s="27" t="s">
        <v>445</v>
      </c>
      <c r="O192" s="14" t="s">
        <v>1066</v>
      </c>
      <c r="P192" s="18"/>
    </row>
    <row r="193" spans="1:16" ht="70" customHeight="1">
      <c r="A193" s="6">
        <v>191</v>
      </c>
      <c r="B193" s="7">
        <v>33067717</v>
      </c>
      <c r="C193" s="50" t="s">
        <v>1067</v>
      </c>
      <c r="D193" s="10" t="s">
        <v>441</v>
      </c>
      <c r="E193" s="10" t="s">
        <v>441</v>
      </c>
      <c r="F193" s="8" t="s">
        <v>442</v>
      </c>
      <c r="G193" s="14" t="s">
        <v>1068</v>
      </c>
      <c r="H193" s="14" t="s">
        <v>444</v>
      </c>
      <c r="I193" s="14" t="s">
        <v>444</v>
      </c>
      <c r="J193" s="14" t="s">
        <v>444</v>
      </c>
      <c r="K193" s="14" t="s">
        <v>444</v>
      </c>
      <c r="L193" s="14" t="s">
        <v>444</v>
      </c>
      <c r="M193" s="14" t="s">
        <v>444</v>
      </c>
      <c r="N193" s="27" t="s">
        <v>445</v>
      </c>
      <c r="O193" s="14" t="s">
        <v>1069</v>
      </c>
      <c r="P193" s="18"/>
    </row>
    <row r="194" spans="1:16" ht="42" customHeight="1">
      <c r="A194" s="6">
        <v>192</v>
      </c>
      <c r="B194" s="7">
        <v>24376515</v>
      </c>
      <c r="C194" s="50" t="s">
        <v>1070</v>
      </c>
      <c r="D194" s="10" t="s">
        <v>441</v>
      </c>
      <c r="E194" s="10" t="s">
        <v>441</v>
      </c>
      <c r="F194" s="8" t="s">
        <v>478</v>
      </c>
      <c r="G194" s="16" t="s">
        <v>1071</v>
      </c>
      <c r="H194" s="14" t="s">
        <v>448</v>
      </c>
      <c r="I194" s="14" t="s">
        <v>1072</v>
      </c>
      <c r="J194" s="14" t="s">
        <v>444</v>
      </c>
      <c r="K194" s="14" t="s">
        <v>444</v>
      </c>
      <c r="L194" s="14" t="s">
        <v>444</v>
      </c>
      <c r="M194" s="14" t="s">
        <v>444</v>
      </c>
      <c r="N194" s="27" t="s">
        <v>445</v>
      </c>
      <c r="O194" s="14" t="s">
        <v>1073</v>
      </c>
      <c r="P194" s="18"/>
    </row>
    <row r="195" spans="1:16" ht="42" customHeight="1">
      <c r="A195" s="6">
        <v>193</v>
      </c>
      <c r="B195" s="7">
        <v>33080854</v>
      </c>
      <c r="C195" s="50" t="s">
        <v>1074</v>
      </c>
      <c r="D195" s="10" t="s">
        <v>441</v>
      </c>
      <c r="E195" s="10" t="s">
        <v>441</v>
      </c>
      <c r="F195" s="8" t="s">
        <v>478</v>
      </c>
      <c r="G195" s="16" t="s">
        <v>1075</v>
      </c>
      <c r="H195" s="14" t="s">
        <v>448</v>
      </c>
      <c r="I195" s="14" t="s">
        <v>1076</v>
      </c>
      <c r="J195" s="14" t="s">
        <v>444</v>
      </c>
      <c r="K195" s="14" t="s">
        <v>444</v>
      </c>
      <c r="L195" s="14" t="s">
        <v>444</v>
      </c>
      <c r="M195" s="14" t="s">
        <v>444</v>
      </c>
      <c r="N195" s="27" t="s">
        <v>445</v>
      </c>
      <c r="O195" s="14" t="s">
        <v>1077</v>
      </c>
      <c r="P195" s="18"/>
    </row>
    <row r="196" spans="1:16" ht="28" customHeight="1">
      <c r="A196" s="6">
        <v>194</v>
      </c>
      <c r="B196" s="7">
        <v>22500850</v>
      </c>
      <c r="C196" s="50" t="s">
        <v>1078</v>
      </c>
      <c r="D196" s="10" t="s">
        <v>441</v>
      </c>
      <c r="E196" s="10" t="s">
        <v>441</v>
      </c>
      <c r="F196" s="8" t="s">
        <v>442</v>
      </c>
      <c r="G196" s="14" t="s">
        <v>1079</v>
      </c>
      <c r="H196" s="14" t="s">
        <v>444</v>
      </c>
      <c r="I196" s="14" t="s">
        <v>444</v>
      </c>
      <c r="J196" s="14" t="s">
        <v>444</v>
      </c>
      <c r="K196" s="14" t="s">
        <v>444</v>
      </c>
      <c r="L196" s="14" t="s">
        <v>444</v>
      </c>
      <c r="M196" s="14" t="s">
        <v>444</v>
      </c>
      <c r="N196" s="27" t="s">
        <v>445</v>
      </c>
      <c r="O196" s="14" t="s">
        <v>1069</v>
      </c>
      <c r="P196" s="18"/>
    </row>
    <row r="197" spans="1:16" ht="70" customHeight="1">
      <c r="A197" s="6">
        <v>195</v>
      </c>
      <c r="B197" s="7">
        <v>31001061</v>
      </c>
      <c r="C197" s="50" t="s">
        <v>1080</v>
      </c>
      <c r="D197" s="10" t="s">
        <v>441</v>
      </c>
      <c r="E197" s="10" t="s">
        <v>441</v>
      </c>
      <c r="F197" s="8" t="s">
        <v>478</v>
      </c>
      <c r="G197" s="16" t="s">
        <v>1081</v>
      </c>
      <c r="H197" s="14" t="s">
        <v>448</v>
      </c>
      <c r="I197" s="14" t="s">
        <v>1082</v>
      </c>
      <c r="J197" s="14" t="s">
        <v>444</v>
      </c>
      <c r="K197" s="14" t="s">
        <v>444</v>
      </c>
      <c r="L197" s="14" t="s">
        <v>444</v>
      </c>
      <c r="M197" s="14" t="s">
        <v>444</v>
      </c>
      <c r="N197" s="27" t="s">
        <v>445</v>
      </c>
      <c r="O197" s="14" t="s">
        <v>1083</v>
      </c>
      <c r="P197" s="18"/>
    </row>
    <row r="198" spans="1:16" ht="56" customHeight="1">
      <c r="A198" s="6">
        <v>196</v>
      </c>
      <c r="B198" s="7">
        <v>40849471</v>
      </c>
      <c r="C198" s="50" t="s">
        <v>1084</v>
      </c>
      <c r="D198" s="10" t="s">
        <v>441</v>
      </c>
      <c r="E198" s="10" t="s">
        <v>441</v>
      </c>
      <c r="F198" s="8" t="s">
        <v>478</v>
      </c>
      <c r="G198" s="16" t="s">
        <v>1085</v>
      </c>
      <c r="H198" s="14" t="s">
        <v>448</v>
      </c>
      <c r="I198" s="14" t="s">
        <v>1086</v>
      </c>
      <c r="J198" s="14" t="s">
        <v>444</v>
      </c>
      <c r="K198" s="14" t="s">
        <v>444</v>
      </c>
      <c r="L198" s="14" t="s">
        <v>444</v>
      </c>
      <c r="M198" s="14" t="s">
        <v>444</v>
      </c>
      <c r="N198" s="27" t="s">
        <v>445</v>
      </c>
      <c r="O198" s="14" t="s">
        <v>1087</v>
      </c>
      <c r="P198" s="18"/>
    </row>
    <row r="199" spans="1:16" ht="42" customHeight="1">
      <c r="A199" s="6">
        <v>197</v>
      </c>
      <c r="B199" s="7">
        <v>27042093</v>
      </c>
      <c r="C199" s="50" t="s">
        <v>1088</v>
      </c>
      <c r="D199" s="10" t="s">
        <v>441</v>
      </c>
      <c r="E199" s="10" t="s">
        <v>441</v>
      </c>
      <c r="F199" s="8" t="s">
        <v>478</v>
      </c>
      <c r="G199" s="16" t="s">
        <v>1089</v>
      </c>
      <c r="H199" s="14" t="s">
        <v>448</v>
      </c>
      <c r="I199" s="14" t="s">
        <v>1090</v>
      </c>
      <c r="J199" s="14" t="s">
        <v>444</v>
      </c>
      <c r="K199" s="14" t="s">
        <v>444</v>
      </c>
      <c r="L199" s="14" t="s">
        <v>444</v>
      </c>
      <c r="M199" s="14" t="s">
        <v>444</v>
      </c>
      <c r="N199" s="27" t="s">
        <v>445</v>
      </c>
      <c r="O199" s="14" t="s">
        <v>1091</v>
      </c>
      <c r="P199" s="18"/>
    </row>
    <row r="200" spans="1:16" ht="56" customHeight="1">
      <c r="A200" s="6">
        <v>198</v>
      </c>
      <c r="B200" s="7">
        <v>27308892</v>
      </c>
      <c r="C200" s="50" t="s">
        <v>187</v>
      </c>
      <c r="D200" s="10" t="s">
        <v>441</v>
      </c>
      <c r="E200" s="10" t="s">
        <v>441</v>
      </c>
      <c r="F200" s="8" t="s">
        <v>478</v>
      </c>
      <c r="G200" s="16" t="s">
        <v>1092</v>
      </c>
      <c r="H200" s="8" t="s">
        <v>441</v>
      </c>
      <c r="I200" s="12" t="s">
        <v>1093</v>
      </c>
      <c r="J200" s="12" t="s">
        <v>441</v>
      </c>
      <c r="K200" s="12" t="s">
        <v>1094</v>
      </c>
      <c r="L200" s="12" t="s">
        <v>1095</v>
      </c>
      <c r="M200" s="12" t="s">
        <v>943</v>
      </c>
      <c r="N200" s="13" t="s">
        <v>484</v>
      </c>
      <c r="O200" s="16" t="s">
        <v>1096</v>
      </c>
      <c r="P200" s="18"/>
    </row>
    <row r="201" spans="1:16" ht="56" customHeight="1">
      <c r="A201" s="6">
        <v>199</v>
      </c>
      <c r="B201" s="7">
        <v>41061618</v>
      </c>
      <c r="C201" s="50" t="s">
        <v>1097</v>
      </c>
      <c r="D201" s="10" t="s">
        <v>448</v>
      </c>
      <c r="E201" s="10" t="s">
        <v>444</v>
      </c>
      <c r="F201" s="14" t="s">
        <v>444</v>
      </c>
      <c r="G201" s="14" t="s">
        <v>444</v>
      </c>
      <c r="H201" s="14" t="s">
        <v>444</v>
      </c>
      <c r="I201" s="14" t="s">
        <v>444</v>
      </c>
      <c r="J201" s="14" t="s">
        <v>444</v>
      </c>
      <c r="K201" s="14" t="s">
        <v>444</v>
      </c>
      <c r="L201" s="14" t="s">
        <v>444</v>
      </c>
      <c r="M201" s="14" t="s">
        <v>444</v>
      </c>
      <c r="N201" s="15" t="s">
        <v>445</v>
      </c>
      <c r="O201" s="14" t="s">
        <v>449</v>
      </c>
      <c r="P201" s="18"/>
    </row>
    <row r="202" spans="1:16" ht="28" customHeight="1">
      <c r="A202" s="6">
        <v>200</v>
      </c>
      <c r="B202" s="7">
        <v>22196568</v>
      </c>
      <c r="C202" s="50" t="s">
        <v>1098</v>
      </c>
      <c r="D202" s="10" t="s">
        <v>441</v>
      </c>
      <c r="E202" s="10" t="s">
        <v>441</v>
      </c>
      <c r="F202" s="8" t="s">
        <v>442</v>
      </c>
      <c r="G202" s="14" t="s">
        <v>1079</v>
      </c>
      <c r="H202" s="14" t="s">
        <v>444</v>
      </c>
      <c r="I202" s="14" t="s">
        <v>444</v>
      </c>
      <c r="J202" s="14" t="s">
        <v>444</v>
      </c>
      <c r="K202" s="14" t="s">
        <v>444</v>
      </c>
      <c r="L202" s="14" t="s">
        <v>444</v>
      </c>
      <c r="M202" s="14" t="s">
        <v>444</v>
      </c>
      <c r="N202" s="27" t="s">
        <v>445</v>
      </c>
      <c r="O202" s="14" t="s">
        <v>1099</v>
      </c>
      <c r="P202" s="18"/>
    </row>
    <row r="203" spans="1:16" ht="70" customHeight="1">
      <c r="A203" s="6">
        <v>201</v>
      </c>
      <c r="B203" s="6">
        <v>31143694</v>
      </c>
      <c r="C203" s="50" t="s">
        <v>1100</v>
      </c>
      <c r="D203" s="10" t="s">
        <v>441</v>
      </c>
      <c r="E203" s="10" t="s">
        <v>441</v>
      </c>
      <c r="F203" s="8" t="s">
        <v>478</v>
      </c>
      <c r="G203" s="16" t="s">
        <v>1101</v>
      </c>
      <c r="H203" s="8" t="s">
        <v>441</v>
      </c>
      <c r="I203" s="11" t="s">
        <v>1102</v>
      </c>
      <c r="J203" s="12" t="s">
        <v>441</v>
      </c>
      <c r="K203" s="16" t="s">
        <v>1103</v>
      </c>
      <c r="L203" s="14" t="s">
        <v>688</v>
      </c>
      <c r="M203" s="14" t="s">
        <v>1014</v>
      </c>
      <c r="N203" s="27" t="s">
        <v>445</v>
      </c>
      <c r="O203" s="14" t="s">
        <v>1104</v>
      </c>
      <c r="P203" s="18"/>
    </row>
    <row r="205" spans="1:16" ht="28">
      <c r="C205" s="9" t="s">
        <v>1105</v>
      </c>
      <c r="D205" s="1">
        <f>COUNTIF(D3:D203,"=Y")</f>
        <v>149</v>
      </c>
      <c r="E205" s="1">
        <f>COUNTIF(E3:E203,"=Y")</f>
        <v>148</v>
      </c>
      <c r="F205" s="2">
        <f>COUNTIF(F3:F203,"=Primary")</f>
        <v>90</v>
      </c>
      <c r="G205" s="2"/>
      <c r="H205" s="2">
        <f>COUNTIF(H3:H203,"=Y")</f>
        <v>54</v>
      </c>
      <c r="J205" s="2">
        <f t="shared" ref="I205:L205" si="0">COUNTIF(J3:J203,"=Y")</f>
        <v>43</v>
      </c>
      <c r="K205" s="2">
        <f t="shared" si="0"/>
        <v>0</v>
      </c>
      <c r="L205" s="52" t="s">
        <v>1120</v>
      </c>
      <c r="N205" s="2">
        <f>COUNTIF(N3:N203,"=iNCLUDE")</f>
        <v>26</v>
      </c>
      <c r="O205" s="2"/>
    </row>
    <row r="206" spans="1:16">
      <c r="C206" s="9" t="s">
        <v>1106</v>
      </c>
      <c r="D206" s="1">
        <f>COUNTIF(D3:D203,"=N")</f>
        <v>52</v>
      </c>
      <c r="E206" s="1">
        <f>COUNTIF(E3:E203,"=N")</f>
        <v>18</v>
      </c>
      <c r="F206" s="2">
        <f>COUNTIF(F3:F203,"=Secondary")</f>
        <v>58</v>
      </c>
      <c r="G206" s="2"/>
      <c r="H206" s="2">
        <f>COUNTIF(H3:H203,"=N")</f>
        <v>36</v>
      </c>
      <c r="J206" s="2">
        <f t="shared" ref="I206:J206" si="1">COUNTIF(J3:J203,"=N")</f>
        <v>11</v>
      </c>
      <c r="L206" s="53">
        <v>17</v>
      </c>
      <c r="N206" s="2">
        <f>COUNTIF(N3:N203,"=EXCLUDE")</f>
        <v>175</v>
      </c>
    </row>
    <row r="207" spans="1:16">
      <c r="C207" s="9" t="s">
        <v>444</v>
      </c>
      <c r="D207" s="1">
        <f>COUNTIF(D3:D203,"=NA")</f>
        <v>0</v>
      </c>
      <c r="E207" s="1">
        <f>COUNTIF(E3:E203,"=NA")</f>
        <v>35</v>
      </c>
      <c r="F207" s="1">
        <f>COUNTIF(F4:F203,"=NA")</f>
        <v>53</v>
      </c>
      <c r="H207" s="1">
        <f>COUNTIF(H3:H203,"=NA")</f>
        <v>111</v>
      </c>
      <c r="I207" s="1"/>
      <c r="J207" s="1">
        <f t="shared" ref="I207:J207" si="2">COUNTIF(J3:J203,"=NA")</f>
        <v>147</v>
      </c>
      <c r="K207" s="1"/>
      <c r="L207" s="1"/>
    </row>
    <row r="208" spans="1:16">
      <c r="F208" s="1"/>
      <c r="H208" s="1"/>
      <c r="I208" s="1"/>
      <c r="J208" s="1"/>
      <c r="K208" s="1"/>
      <c r="L208" s="1"/>
    </row>
    <row r="209" spans="3:14">
      <c r="C209" s="9" t="s">
        <v>1107</v>
      </c>
      <c r="D209" s="1">
        <f>D205+D206+D207</f>
        <v>201</v>
      </c>
      <c r="E209" s="1">
        <f>E205+E206+E207</f>
        <v>201</v>
      </c>
      <c r="F209" s="2">
        <f>F205+F206+F207</f>
        <v>201</v>
      </c>
      <c r="G209" s="2"/>
      <c r="H209" s="2">
        <f>H205+H206+H207</f>
        <v>201</v>
      </c>
      <c r="J209" s="2">
        <f t="shared" ref="I209:J209" si="3">J205+J206+J207</f>
        <v>201</v>
      </c>
      <c r="N209" s="2">
        <f>N205+N206</f>
        <v>201</v>
      </c>
    </row>
  </sheetData>
  <autoFilter ref="A2:P203" xr:uid="{00000000-0009-0000-0000-000000000000}"/>
  <conditionalFormatting sqref="D22:E203">
    <cfRule type="containsText" dxfId="117" priority="67" operator="containsText" text="Y">
      <formula>NOT(ISERROR(SEARCH("Y",D22)))</formula>
    </cfRule>
    <cfRule type="containsText" dxfId="116" priority="68" operator="containsText" text="N">
      <formula>NOT(ISERROR(SEARCH("N",D22)))</formula>
    </cfRule>
  </conditionalFormatting>
  <conditionalFormatting sqref="D3:F12 G4:N4 D13:N15 D16:F16 D17:N17 D18:F19 D20:M21 F22:F24 F25:M25 F26:F28 F29:M30 F31:F34 F35:M37 F38:F42 F43:M44 F45:F46 F47:M47 F48:F49 F50:M50 F51:F52 F53:J53 L53:M53 F54:F61 F62:M62 F63 F64:M65 F66:F69 F70:M70 F71:F73 F74:M74 F75:F80 F81:M81 F82:F95 F96:M97 F98:F102 F103:M103 F104:F108 F109:M110 F111:F115 F116:M117 F118:F119 F120:M121 F122:F126 F127:M127 F128:F130 F131:M131 F132:F133 F134:M136 F137 F138:M140 F141:F151 F152:M152 F153:F158 F159:M162 F163 F164:M164 F165:F169 F170:M172 F173:F174 F175:M175 F176:F182 F183:M183 F184:F190 F191:M191 F192:F200 F201:M201 F202:F206 O205 M205:N209 F209:F1048576 N201:N203 H3:N3 H5:N12 H16:N16 H18 H19:M19 H22:M22 H22:H24 H26:M28 H31:M31 H31:H34 H34:M34 H38:H42 H40:M41 H45:M46 H48 H49:M49 H51:H52 I52:M52 H54:H61 H56:M56 H60:M60 H63 H66:M66 H66:H69 H68:M69 H71:M72 H71:H73 H75:H80 H76:M77 H82:H95 H84:M84 H88:M88 H92:I93 H98:H102 H100:M100 H104:H108 H105:M106 H111:M111 H111:H115 H118:H119 H122:H126 H128:H130 H132:M133 H137 H141:M141 H141:H151 H151:M151 H153:H158 H163 H165:H169 H169:I169 H173:H174 H176:H182 H182:I182 H184:I185 H184:H190 H187:I187 H189:I189 H192:H200 I193 I196 H202:M202 H203:I203 L203 H204:N204 H210:N1048576 G209:L209 G205:K206">
    <cfRule type="containsText" dxfId="115" priority="64" operator="containsText" text="Y">
      <formula>NOT(ISERROR(SEARCH("Y",D3)))</formula>
    </cfRule>
  </conditionalFormatting>
  <conditionalFormatting sqref="F3:F12 G4:M4 F13:M15 F16 F17:M17 F18:F19 F20:M21 F22:F24 F25:M25 F26:F28 F29:M30 F31:F34 F35:M37 F38:F42 F43:M44 F45:F46 F47:M47 F48:F49 F50:M50 F51:F52 F53:J53 L53:M53 F54:F61 F62:M62 F63 F64:M65 F66:F69 F70:M70 F71:F73 F74:M74 F75:F80 F81:M81 F82:F95 F96:M97 F98:F102 F103:M103 F104:F108 F109:M110 F111:F115 F116:M117 F118:F119 F120:M121 F122:F126 F127:M127 F128:F130 F131:M131 F132:F133 F134:M136 F137 F138:M140 F141:F151 F152:M152 F153:F158 F159:M162 F163 F164:M164 F165:F169 F170:M172 F173:F174 F175:M175 F176:F182 F183:M183 F184:F190 F191:M191 F192:F200 F201:M201 F202:F206 O205 M205:N209 F209:F1048576 G209:L209 G205:K206">
    <cfRule type="containsText" dxfId="114" priority="62" operator="containsText" text="Primary">
      <formula>NOT(ISERROR(SEARCH("Primary",F3)))</formula>
    </cfRule>
    <cfRule type="containsText" dxfId="113" priority="63" operator="containsText" text="Secondary">
      <formula>NOT(ISERROR(SEARCH("Secondary",F3)))</formula>
    </cfRule>
  </conditionalFormatting>
  <conditionalFormatting sqref="H3:N3 D3:F12 G4:N4 H5:N12 D13:N15 D16:F16 H16:N16 D17:N17 H18 D18:F19 H19:M19 D20:M21 H22:M22 F22:F24 H22:H24 F25:M25 F26:F28 H26:M28 F29:M30 H31:M31 F31:F34 H31:H34 H34:M34 F35:M37 F38:F42 H38:H42 H40:M41 F43:M44 F45:F46 H45:M46 F47:M47 H48 F48:F49 H49:M49 F50:M50 F51:F52 H51:H52 I52:M52 F53:J53 L53:M53 F54:F61 H54:H61 H56:M56 H60:M60 F62:M62 F63 H63 F64:M65 H66:M66 F66:F69 H66:H69 H68:M69 F70:M70 H71:M72 F71:F73 H71:H73 F74:M74 F75:F80 H75:H80 H76:M77 F81:M81 F82:F95 H82:H95 H84:M84 H88:M88 H92:I93 F96:M97 F98:F102 H98:H102 H100:M100 F103:M103 F104:F108 H104:H108 H105:M106 F109:M110 H111:M111 F111:F115 H111:H115 F116:M117 F118:F119 H118:H119 F120:M121 F122:F126 H122:H126 F127:M127 F128:F130 H128:H130 F131:M131 F132:F133 H132:M133 F134:M136 F137 H137 F138:M140 H141:M141 F141:F151 H141:H151 H151:M151 F152:M152 F153:F158 H153:H158 F159:M162 F163 H163 F164:M164 F165:F169 H165:H169 H169:I169 F170:M172 F173:F174 H173:H174 F175:M175 F176:F182 H176:H182 H182:I182 F183:M183 H184:I185 F184:F190 H184:H190 H187:I187 H189:I189 F191:M191 F192:F200 H192:H200 I193 I196 F201:M201 N201:N203 H202:M202 F202:F206 H203:I203 L203 H204:N204 O205 M205:N209 F209:F1048576 H210:N1048576 G209:L209 G205:K206">
    <cfRule type="containsText" dxfId="112" priority="65" operator="containsText" text="N">
      <formula>NOT(ISERROR(SEARCH("N",D3)))</formula>
    </cfRule>
  </conditionalFormatting>
  <conditionalFormatting sqref="I157:M157">
    <cfRule type="containsText" dxfId="111" priority="17" operator="containsText" text="Y">
      <formula>NOT(ISERROR(SEARCH("Y",I157)))</formula>
    </cfRule>
    <cfRule type="containsText" dxfId="110" priority="18" operator="containsText" text="N">
      <formula>NOT(ISERROR(SEARCH("N",I157)))</formula>
    </cfRule>
  </conditionalFormatting>
  <conditionalFormatting sqref="J38:M38">
    <cfRule type="containsText" dxfId="109" priority="57" operator="containsText" text="Y">
      <formula>NOT(ISERROR(SEARCH("Y",J38)))</formula>
    </cfRule>
    <cfRule type="containsText" dxfId="108" priority="58" operator="containsText" text="N">
      <formula>NOT(ISERROR(SEARCH("N",J38)))</formula>
    </cfRule>
  </conditionalFormatting>
  <conditionalFormatting sqref="J58:M58">
    <cfRule type="containsText" dxfId="107" priority="53" operator="containsText" text="Y">
      <formula>NOT(ISERROR(SEARCH("Y",J58)))</formula>
    </cfRule>
    <cfRule type="containsText" dxfId="106" priority="54" operator="containsText" text="N">
      <formula>NOT(ISERROR(SEARCH("N",J58)))</formula>
    </cfRule>
  </conditionalFormatting>
  <conditionalFormatting sqref="J67:M67">
    <cfRule type="containsText" dxfId="105" priority="51" operator="containsText" text="Y">
      <formula>NOT(ISERROR(SEARCH("Y",J67)))</formula>
    </cfRule>
    <cfRule type="containsText" dxfId="104" priority="52" operator="containsText" text="N">
      <formula>NOT(ISERROR(SEARCH("N",J67)))</formula>
    </cfRule>
  </conditionalFormatting>
  <conditionalFormatting sqref="J73:M73">
    <cfRule type="containsText" dxfId="103" priority="49" operator="containsText" text="Y">
      <formula>NOT(ISERROR(SEARCH("Y",J73)))</formula>
    </cfRule>
    <cfRule type="containsText" dxfId="102" priority="50" operator="containsText" text="N">
      <formula>NOT(ISERROR(SEARCH("N",J73)))</formula>
    </cfRule>
  </conditionalFormatting>
  <conditionalFormatting sqref="J80:M80">
    <cfRule type="containsText" dxfId="101" priority="47" operator="containsText" text="Y">
      <formula>NOT(ISERROR(SEARCH("Y",J80)))</formula>
    </cfRule>
    <cfRule type="containsText" dxfId="100" priority="48" operator="containsText" text="N">
      <formula>NOT(ISERROR(SEARCH("N",J80)))</formula>
    </cfRule>
  </conditionalFormatting>
  <conditionalFormatting sqref="J83:M83">
    <cfRule type="containsText" dxfId="99" priority="45" operator="containsText" text="Y">
      <formula>NOT(ISERROR(SEARCH("Y",J83)))</formula>
    </cfRule>
    <cfRule type="containsText" dxfId="98" priority="46" operator="containsText" text="N">
      <formula>NOT(ISERROR(SEARCH("N",J83)))</formula>
    </cfRule>
  </conditionalFormatting>
  <conditionalFormatting sqref="J90:M94">
    <cfRule type="containsText" dxfId="97" priority="35" operator="containsText" text="Y">
      <formula>NOT(ISERROR(SEARCH("Y",J90)))</formula>
    </cfRule>
    <cfRule type="containsText" dxfId="96" priority="36" operator="containsText" text="N">
      <formula>NOT(ISERROR(SEARCH("N",J90)))</formula>
    </cfRule>
  </conditionalFormatting>
  <conditionalFormatting sqref="J108:M108">
    <cfRule type="containsText" dxfId="95" priority="31" operator="containsText" text="Y">
      <formula>NOT(ISERROR(SEARCH("Y",J108)))</formula>
    </cfRule>
    <cfRule type="containsText" dxfId="94" priority="32" operator="containsText" text="N">
      <formula>NOT(ISERROR(SEARCH("N",J108)))</formula>
    </cfRule>
  </conditionalFormatting>
  <conditionalFormatting sqref="J142:M142">
    <cfRule type="containsText" dxfId="93" priority="27" operator="containsText" text="Y">
      <formula>NOT(ISERROR(SEARCH("Y",J142)))</formula>
    </cfRule>
    <cfRule type="containsText" dxfId="92" priority="28" operator="containsText" text="N">
      <formula>NOT(ISERROR(SEARCH("N",J142)))</formula>
    </cfRule>
  </conditionalFormatting>
  <conditionalFormatting sqref="J144:M144">
    <cfRule type="containsText" dxfId="91" priority="25" operator="containsText" text="Y">
      <formula>NOT(ISERROR(SEARCH("Y",J144)))</formula>
    </cfRule>
    <cfRule type="containsText" dxfId="90" priority="26" operator="containsText" text="N">
      <formula>NOT(ISERROR(SEARCH("N",J144)))</formula>
    </cfRule>
  </conditionalFormatting>
  <conditionalFormatting sqref="J146:M146">
    <cfRule type="containsText" dxfId="89" priority="23" operator="containsText" text="Y">
      <formula>NOT(ISERROR(SEARCH("Y",J146)))</formula>
    </cfRule>
    <cfRule type="containsText" dxfId="88" priority="24" operator="containsText" text="N">
      <formula>NOT(ISERROR(SEARCH("N",J146)))</formula>
    </cfRule>
  </conditionalFormatting>
  <conditionalFormatting sqref="J148:M148">
    <cfRule type="containsText" dxfId="87" priority="21" operator="containsText" text="Y">
      <formula>NOT(ISERROR(SEARCH("Y",J148)))</formula>
    </cfRule>
    <cfRule type="containsText" dxfId="86" priority="22" operator="containsText" text="N">
      <formula>NOT(ISERROR(SEARCH("N",J148)))</formula>
    </cfRule>
  </conditionalFormatting>
  <conditionalFormatting sqref="J165:M165">
    <cfRule type="containsText" dxfId="85" priority="15" operator="containsText" text="Y">
      <formula>NOT(ISERROR(SEARCH("Y",J165)))</formula>
    </cfRule>
    <cfRule type="containsText" dxfId="84" priority="16" operator="containsText" text="N">
      <formula>NOT(ISERROR(SEARCH("N",J165)))</formula>
    </cfRule>
  </conditionalFormatting>
  <conditionalFormatting sqref="J167:M169">
    <cfRule type="containsText" dxfId="83" priority="13" operator="containsText" text="Y">
      <formula>NOT(ISERROR(SEARCH("Y",J167)))</formula>
    </cfRule>
    <cfRule type="containsText" dxfId="82" priority="14" operator="containsText" text="N">
      <formula>NOT(ISERROR(SEARCH("N",J167)))</formula>
    </cfRule>
  </conditionalFormatting>
  <conditionalFormatting sqref="J174:M174 J176:M176">
    <cfRule type="containsText" dxfId="81" priority="11" operator="containsText" text="Y">
      <formula>NOT(ISERROR(SEARCH("Y",J174)))</formula>
    </cfRule>
    <cfRule type="containsText" dxfId="80" priority="12" operator="containsText" text="N">
      <formula>NOT(ISERROR(SEARCH("N",J174)))</formula>
    </cfRule>
  </conditionalFormatting>
  <conditionalFormatting sqref="J178:M178">
    <cfRule type="containsText" dxfId="79" priority="9" operator="containsText" text="Y">
      <formula>NOT(ISERROR(SEARCH("Y",J178)))</formula>
    </cfRule>
    <cfRule type="containsText" dxfId="78" priority="10" operator="containsText" text="N">
      <formula>NOT(ISERROR(SEARCH("N",J178)))</formula>
    </cfRule>
  </conditionalFormatting>
  <conditionalFormatting sqref="J180:M182 J184:M189">
    <cfRule type="containsText" dxfId="77" priority="7" operator="containsText" text="Y">
      <formula>NOT(ISERROR(SEARCH("Y",J180)))</formula>
    </cfRule>
    <cfRule type="containsText" dxfId="76" priority="8" operator="containsText" text="N">
      <formula>NOT(ISERROR(SEARCH("N",J180)))</formula>
    </cfRule>
  </conditionalFormatting>
  <conditionalFormatting sqref="J192:M199">
    <cfRule type="containsText" dxfId="75" priority="3" operator="containsText" text="Y">
      <formula>NOT(ISERROR(SEARCH("Y",J192)))</formula>
    </cfRule>
    <cfRule type="containsText" dxfId="74" priority="4" operator="containsText" text="N">
      <formula>NOT(ISERROR(SEARCH("N",J192)))</formula>
    </cfRule>
  </conditionalFormatting>
  <conditionalFormatting sqref="L32:M32">
    <cfRule type="containsText" dxfId="73" priority="59" operator="containsText" text="Y">
      <formula>NOT(ISERROR(SEARCH("Y",L32)))</formula>
    </cfRule>
    <cfRule type="containsText" dxfId="72" priority="60" operator="containsText" text="N">
      <formula>NOT(ISERROR(SEARCH("N",L32)))</formula>
    </cfRule>
  </conditionalFormatting>
  <conditionalFormatting sqref="L85:M85">
    <cfRule type="containsText" dxfId="71" priority="43" operator="containsText" text="Y">
      <formula>NOT(ISERROR(SEARCH("Y",L85)))</formula>
    </cfRule>
    <cfRule type="containsText" dxfId="70" priority="44" operator="containsText" text="N">
      <formula>NOT(ISERROR(SEARCH("N",L85)))</formula>
    </cfRule>
  </conditionalFormatting>
  <conditionalFormatting sqref="L87:M87">
    <cfRule type="containsText" dxfId="69" priority="41" operator="containsText" text="Y">
      <formula>NOT(ISERROR(SEARCH("Y",L87)))</formula>
    </cfRule>
    <cfRule type="containsText" dxfId="68" priority="42" operator="containsText" text="N">
      <formula>NOT(ISERROR(SEARCH("N",L87)))</formula>
    </cfRule>
  </conditionalFormatting>
  <conditionalFormatting sqref="L89:M89">
    <cfRule type="containsText" dxfId="67" priority="39" operator="containsText" text="Y">
      <formula>NOT(ISERROR(SEARCH("Y",L89)))</formula>
    </cfRule>
    <cfRule type="containsText" dxfId="66" priority="40" operator="containsText" text="N">
      <formula>NOT(ISERROR(SEARCH("N",L89)))</formula>
    </cfRule>
  </conditionalFormatting>
  <conditionalFormatting sqref="L99:M99">
    <cfRule type="containsText" dxfId="65" priority="33" operator="containsText" text="Y">
      <formula>NOT(ISERROR(SEARCH("Y",L99)))</formula>
    </cfRule>
    <cfRule type="containsText" dxfId="64" priority="34" operator="containsText" text="N">
      <formula>NOT(ISERROR(SEARCH("N",L99)))</formula>
    </cfRule>
  </conditionalFormatting>
  <conditionalFormatting sqref="L137:M137">
    <cfRule type="containsText" dxfId="63" priority="29" operator="containsText" text="Y">
      <formula>NOT(ISERROR(SEARCH("Y",L137)))</formula>
    </cfRule>
    <cfRule type="containsText" dxfId="62" priority="30" operator="containsText" text="N">
      <formula>NOT(ISERROR(SEARCH("N",L137)))</formula>
    </cfRule>
  </conditionalFormatting>
  <conditionalFormatting sqref="N24">
    <cfRule type="cellIs" dxfId="61" priority="1" operator="equal">
      <formula>"EXCLUDE"</formula>
    </cfRule>
  </conditionalFormatting>
  <conditionalFormatting sqref="N51">
    <cfRule type="cellIs" dxfId="60" priority="2" operator="equal">
      <formula>"EXCLUDE"</formula>
    </cfRule>
  </conditionalFormatting>
  <conditionalFormatting sqref="N201:N203">
    <cfRule type="containsText" dxfId="59" priority="61" operator="containsText" text="EXCLUDE">
      <formula>NOT(ISERROR(SEARCH("EXCLUDE",N201)))</formula>
    </cfRule>
  </conditionalFormatting>
  <hyperlinks>
    <hyperlink ref="G32"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4"/>
  <sheetViews>
    <sheetView zoomScale="68" zoomScaleNormal="100" workbookViewId="0">
      <pane xSplit="1" ySplit="1" topLeftCell="B28" activePane="bottomRight" state="frozen"/>
      <selection pane="topRight" activeCell="B1" sqref="B1"/>
      <selection pane="bottomLeft" activeCell="A2" sqref="A2"/>
      <selection pane="bottomRight" activeCell="R5" sqref="R5"/>
    </sheetView>
  </sheetViews>
  <sheetFormatPr defaultRowHeight="13"/>
  <cols>
    <col min="1" max="1" width="6.08984375" style="44" customWidth="1"/>
    <col min="2" max="2" width="26.453125" style="45" customWidth="1"/>
    <col min="3" max="3" width="14.453125" style="45" customWidth="1"/>
    <col min="4" max="4" width="28.1796875" style="45" customWidth="1"/>
    <col min="5" max="5" width="19.08984375" style="45" customWidth="1"/>
    <col min="6" max="6" width="15.81640625" style="45" customWidth="1"/>
    <col min="7" max="7" width="17.6328125" style="45" customWidth="1"/>
    <col min="8" max="8" width="16.1796875" style="45" customWidth="1"/>
    <col min="9" max="9" width="18.6328125" style="45" customWidth="1"/>
    <col min="10" max="10" width="19" style="45" customWidth="1"/>
    <col min="11" max="11" width="22.54296875" style="45" customWidth="1"/>
    <col min="12" max="12" width="17.08984375" style="45" customWidth="1"/>
    <col min="13" max="13" width="53" style="45" customWidth="1"/>
    <col min="14" max="14" width="17.08984375" style="45" customWidth="1"/>
    <col min="15" max="15" width="19" style="45" customWidth="1"/>
    <col min="16" max="16" width="15" style="45" customWidth="1"/>
    <col min="17" max="17" width="32.6328125" style="45" customWidth="1"/>
    <col min="18" max="18" width="28.54296875" style="45" customWidth="1"/>
    <col min="19" max="19" width="47.54296875" style="45" customWidth="1"/>
    <col min="20" max="20" width="8.7265625" style="38" customWidth="1"/>
    <col min="21" max="16384" width="8.7265625" style="38"/>
  </cols>
  <sheetData>
    <row r="1" spans="1:19" ht="26" customHeight="1">
      <c r="A1" s="36" t="s">
        <v>0</v>
      </c>
      <c r="B1" s="37" t="s">
        <v>1</v>
      </c>
      <c r="C1" s="37" t="s">
        <v>2</v>
      </c>
      <c r="D1" s="37" t="s">
        <v>3</v>
      </c>
      <c r="E1" s="37" t="s">
        <v>4</v>
      </c>
      <c r="F1" s="37" t="s">
        <v>5</v>
      </c>
      <c r="G1" s="37" t="s">
        <v>6</v>
      </c>
      <c r="H1" s="37" t="s">
        <v>7</v>
      </c>
      <c r="I1" s="37" t="s">
        <v>8</v>
      </c>
      <c r="J1" s="37" t="s">
        <v>9</v>
      </c>
      <c r="K1" s="37" t="s">
        <v>10</v>
      </c>
      <c r="L1" s="37" t="s">
        <v>11</v>
      </c>
      <c r="M1" s="37" t="s">
        <v>12</v>
      </c>
      <c r="N1" s="37" t="s">
        <v>13</v>
      </c>
      <c r="O1" s="37" t="s">
        <v>14</v>
      </c>
      <c r="P1" s="37" t="s">
        <v>15</v>
      </c>
      <c r="Q1" s="37" t="s">
        <v>16</v>
      </c>
      <c r="R1" s="37" t="s">
        <v>17</v>
      </c>
      <c r="S1" s="37" t="s">
        <v>18</v>
      </c>
    </row>
    <row r="2" spans="1:19" ht="409.5" customHeight="1">
      <c r="A2" s="39">
        <v>1</v>
      </c>
      <c r="B2" s="40" t="s">
        <v>19</v>
      </c>
      <c r="C2" s="40">
        <v>2024</v>
      </c>
      <c r="D2" s="40" t="s">
        <v>20</v>
      </c>
      <c r="E2" s="40" t="s">
        <v>21</v>
      </c>
      <c r="F2" s="40" t="s">
        <v>22</v>
      </c>
      <c r="G2" s="40" t="s">
        <v>23</v>
      </c>
      <c r="H2" s="40" t="s">
        <v>24</v>
      </c>
      <c r="I2" s="40" t="s">
        <v>25</v>
      </c>
      <c r="J2" s="40" t="s">
        <v>26</v>
      </c>
      <c r="K2" s="40" t="s">
        <v>27</v>
      </c>
      <c r="L2" s="40" t="s">
        <v>28</v>
      </c>
      <c r="M2" s="41" t="s">
        <v>29</v>
      </c>
      <c r="N2" s="42" t="s">
        <v>30</v>
      </c>
      <c r="O2" s="42" t="s">
        <v>31</v>
      </c>
      <c r="P2" s="40" t="s">
        <v>32</v>
      </c>
      <c r="Q2" s="40" t="s">
        <v>33</v>
      </c>
      <c r="R2" s="40" t="s">
        <v>34</v>
      </c>
      <c r="S2" s="40" t="s">
        <v>35</v>
      </c>
    </row>
    <row r="3" spans="1:19" s="43" customFormat="1" ht="409.5" customHeight="1">
      <c r="A3" s="39">
        <v>2</v>
      </c>
      <c r="B3" s="40" t="s">
        <v>36</v>
      </c>
      <c r="C3" s="40">
        <v>2016</v>
      </c>
      <c r="D3" s="40" t="s">
        <v>37</v>
      </c>
      <c r="E3" s="40" t="s">
        <v>38</v>
      </c>
      <c r="F3" s="40" t="s">
        <v>39</v>
      </c>
      <c r="G3" s="40" t="s">
        <v>40</v>
      </c>
      <c r="H3" s="40" t="s">
        <v>41</v>
      </c>
      <c r="I3" s="40" t="s">
        <v>42</v>
      </c>
      <c r="J3" s="40" t="s">
        <v>43</v>
      </c>
      <c r="K3" s="40" t="s">
        <v>44</v>
      </c>
      <c r="L3" s="40" t="s">
        <v>28</v>
      </c>
      <c r="M3" s="41" t="s">
        <v>45</v>
      </c>
      <c r="N3" s="42" t="s">
        <v>46</v>
      </c>
      <c r="O3" s="42" t="s">
        <v>47</v>
      </c>
      <c r="P3" s="40" t="s">
        <v>32</v>
      </c>
      <c r="Q3" s="40" t="s">
        <v>48</v>
      </c>
      <c r="R3" s="40" t="s">
        <v>49</v>
      </c>
      <c r="S3" s="40" t="s">
        <v>50</v>
      </c>
    </row>
    <row r="4" spans="1:19" s="43" customFormat="1" ht="409.5" customHeight="1">
      <c r="A4" s="39">
        <v>3</v>
      </c>
      <c r="B4" s="40" t="s">
        <v>51</v>
      </c>
      <c r="C4" s="40">
        <v>2014</v>
      </c>
      <c r="D4" s="40" t="s">
        <v>52</v>
      </c>
      <c r="E4" s="40" t="s">
        <v>53</v>
      </c>
      <c r="F4" s="40" t="s">
        <v>54</v>
      </c>
      <c r="G4" s="40" t="s">
        <v>55</v>
      </c>
      <c r="H4" s="40" t="s">
        <v>56</v>
      </c>
      <c r="I4" s="40" t="s">
        <v>57</v>
      </c>
      <c r="J4" s="40" t="s">
        <v>58</v>
      </c>
      <c r="K4" s="40" t="s">
        <v>59</v>
      </c>
      <c r="L4" s="40" t="s">
        <v>28</v>
      </c>
      <c r="M4" s="41" t="s">
        <v>60</v>
      </c>
      <c r="N4" s="42" t="s">
        <v>61</v>
      </c>
      <c r="O4" s="42" t="s">
        <v>62</v>
      </c>
      <c r="P4" s="40" t="s">
        <v>32</v>
      </c>
      <c r="Q4" s="40" t="s">
        <v>63</v>
      </c>
      <c r="R4" s="40" t="s">
        <v>64</v>
      </c>
      <c r="S4" s="40" t="s">
        <v>65</v>
      </c>
    </row>
    <row r="5" spans="1:19" s="43" customFormat="1" ht="409.5" customHeight="1">
      <c r="A5" s="39">
        <v>4</v>
      </c>
      <c r="B5" s="40" t="s">
        <v>66</v>
      </c>
      <c r="C5" s="40">
        <v>2015</v>
      </c>
      <c r="D5" s="40" t="s">
        <v>67</v>
      </c>
      <c r="E5" s="40" t="s">
        <v>68</v>
      </c>
      <c r="F5" s="40" t="s">
        <v>69</v>
      </c>
      <c r="G5" s="40" t="s">
        <v>70</v>
      </c>
      <c r="H5" s="40" t="s">
        <v>71</v>
      </c>
      <c r="I5" s="40" t="s">
        <v>72</v>
      </c>
      <c r="J5" s="40" t="s">
        <v>73</v>
      </c>
      <c r="K5" s="40" t="s">
        <v>74</v>
      </c>
      <c r="L5" s="40" t="s">
        <v>75</v>
      </c>
      <c r="M5" s="41" t="s">
        <v>76</v>
      </c>
      <c r="N5" s="42" t="s">
        <v>61</v>
      </c>
      <c r="O5" s="42" t="s">
        <v>77</v>
      </c>
      <c r="P5" s="40" t="s">
        <v>32</v>
      </c>
      <c r="Q5" s="40" t="s">
        <v>78</v>
      </c>
      <c r="R5" s="40" t="s">
        <v>79</v>
      </c>
      <c r="S5" s="40" t="s">
        <v>80</v>
      </c>
    </row>
    <row r="6" spans="1:19" s="43" customFormat="1" ht="409.5" customHeight="1">
      <c r="A6" s="39">
        <v>5</v>
      </c>
      <c r="B6" s="40" t="s">
        <v>81</v>
      </c>
      <c r="C6" s="40">
        <v>2020</v>
      </c>
      <c r="D6" s="40" t="s">
        <v>82</v>
      </c>
      <c r="E6" s="40" t="s">
        <v>83</v>
      </c>
      <c r="F6" s="40" t="s">
        <v>39</v>
      </c>
      <c r="G6" s="40" t="s">
        <v>84</v>
      </c>
      <c r="H6" s="40" t="s">
        <v>85</v>
      </c>
      <c r="I6" s="40" t="s">
        <v>86</v>
      </c>
      <c r="J6" s="40" t="s">
        <v>87</v>
      </c>
      <c r="K6" s="40" t="s">
        <v>88</v>
      </c>
      <c r="L6" s="40" t="s">
        <v>89</v>
      </c>
      <c r="M6" s="41" t="s">
        <v>90</v>
      </c>
      <c r="N6" s="42" t="s">
        <v>91</v>
      </c>
      <c r="O6" s="42" t="s">
        <v>92</v>
      </c>
      <c r="P6" s="40" t="s">
        <v>32</v>
      </c>
      <c r="Q6" s="40" t="s">
        <v>93</v>
      </c>
      <c r="R6" s="40" t="s">
        <v>94</v>
      </c>
      <c r="S6" s="40" t="s">
        <v>95</v>
      </c>
    </row>
    <row r="7" spans="1:19" s="43" customFormat="1" ht="409.5" customHeight="1">
      <c r="A7" s="39">
        <v>6</v>
      </c>
      <c r="B7" s="40" t="s">
        <v>96</v>
      </c>
      <c r="C7" s="40">
        <v>2019</v>
      </c>
      <c r="D7" s="40" t="s">
        <v>97</v>
      </c>
      <c r="E7" s="40" t="s">
        <v>98</v>
      </c>
      <c r="F7" s="40" t="s">
        <v>39</v>
      </c>
      <c r="G7" s="40" t="s">
        <v>99</v>
      </c>
      <c r="H7" s="40" t="s">
        <v>100</v>
      </c>
      <c r="I7" s="40" t="s">
        <v>101</v>
      </c>
      <c r="J7" s="40" t="s">
        <v>102</v>
      </c>
      <c r="K7" s="40" t="s">
        <v>103</v>
      </c>
      <c r="L7" s="40" t="s">
        <v>104</v>
      </c>
      <c r="M7" s="41" t="s">
        <v>105</v>
      </c>
      <c r="N7" s="42" t="s">
        <v>106</v>
      </c>
      <c r="O7" s="42" t="s">
        <v>107</v>
      </c>
      <c r="P7" s="40" t="s">
        <v>108</v>
      </c>
      <c r="Q7" s="40" t="s">
        <v>109</v>
      </c>
      <c r="R7" s="40" t="s">
        <v>110</v>
      </c>
      <c r="S7" s="40" t="s">
        <v>111</v>
      </c>
    </row>
    <row r="8" spans="1:19" s="43" customFormat="1" ht="409.5" customHeight="1">
      <c r="A8" s="39">
        <v>7</v>
      </c>
      <c r="B8" s="40" t="s">
        <v>112</v>
      </c>
      <c r="C8" s="40">
        <v>2021</v>
      </c>
      <c r="D8" s="40" t="s">
        <v>113</v>
      </c>
      <c r="E8" s="40" t="s">
        <v>114</v>
      </c>
      <c r="F8" s="40" t="s">
        <v>115</v>
      </c>
      <c r="G8" s="40" t="s">
        <v>116</v>
      </c>
      <c r="H8" s="40" t="s">
        <v>117</v>
      </c>
      <c r="I8" s="40" t="s">
        <v>118</v>
      </c>
      <c r="J8" s="40" t="s">
        <v>119</v>
      </c>
      <c r="K8" s="40" t="s">
        <v>120</v>
      </c>
      <c r="L8" s="40" t="s">
        <v>121</v>
      </c>
      <c r="M8" s="41" t="s">
        <v>122</v>
      </c>
      <c r="N8" s="42" t="s">
        <v>61</v>
      </c>
      <c r="O8" s="42" t="s">
        <v>123</v>
      </c>
      <c r="P8" s="40" t="s">
        <v>124</v>
      </c>
      <c r="Q8" s="40" t="s">
        <v>125</v>
      </c>
      <c r="R8" s="40" t="s">
        <v>126</v>
      </c>
      <c r="S8" s="40" t="s">
        <v>127</v>
      </c>
    </row>
    <row r="9" spans="1:19" s="43" customFormat="1" ht="409.5" customHeight="1">
      <c r="A9" s="39">
        <v>8</v>
      </c>
      <c r="B9" s="40" t="s">
        <v>128</v>
      </c>
      <c r="C9" s="40">
        <v>2022</v>
      </c>
      <c r="D9" s="40" t="s">
        <v>129</v>
      </c>
      <c r="E9" s="40" t="s">
        <v>130</v>
      </c>
      <c r="F9" s="40" t="s">
        <v>131</v>
      </c>
      <c r="G9" s="40" t="s">
        <v>132</v>
      </c>
      <c r="H9" s="40" t="s">
        <v>133</v>
      </c>
      <c r="I9" s="40" t="s">
        <v>134</v>
      </c>
      <c r="J9" s="40" t="s">
        <v>135</v>
      </c>
      <c r="K9" s="40" t="s">
        <v>136</v>
      </c>
      <c r="L9" s="40" t="s">
        <v>28</v>
      </c>
      <c r="M9" s="41" t="s">
        <v>137</v>
      </c>
      <c r="N9" s="42" t="s">
        <v>138</v>
      </c>
      <c r="O9" s="42" t="s">
        <v>139</v>
      </c>
      <c r="P9" s="40" t="s">
        <v>140</v>
      </c>
      <c r="Q9" s="40" t="s">
        <v>141</v>
      </c>
      <c r="R9" s="40" t="s">
        <v>142</v>
      </c>
      <c r="S9" s="40" t="s">
        <v>143</v>
      </c>
    </row>
    <row r="10" spans="1:19" s="43" customFormat="1" ht="409.5" customHeight="1">
      <c r="A10" s="39">
        <v>9</v>
      </c>
      <c r="B10" s="40" t="s">
        <v>144</v>
      </c>
      <c r="C10" s="40">
        <v>2021</v>
      </c>
      <c r="D10" s="40" t="s">
        <v>145</v>
      </c>
      <c r="E10" s="40" t="s">
        <v>146</v>
      </c>
      <c r="F10" s="40" t="s">
        <v>147</v>
      </c>
      <c r="G10" s="40" t="s">
        <v>148</v>
      </c>
      <c r="H10" s="40" t="s">
        <v>149</v>
      </c>
      <c r="I10" s="40" t="s">
        <v>150</v>
      </c>
      <c r="J10" s="40" t="s">
        <v>151</v>
      </c>
      <c r="K10" s="40" t="s">
        <v>152</v>
      </c>
      <c r="L10" s="40" t="s">
        <v>89</v>
      </c>
      <c r="M10" s="41" t="s">
        <v>153</v>
      </c>
      <c r="N10" s="42" t="s">
        <v>61</v>
      </c>
      <c r="O10" s="42" t="s">
        <v>154</v>
      </c>
      <c r="P10" s="40" t="s">
        <v>140</v>
      </c>
      <c r="Q10" s="40" t="s">
        <v>155</v>
      </c>
      <c r="R10" s="40" t="s">
        <v>156</v>
      </c>
      <c r="S10" s="40" t="s">
        <v>157</v>
      </c>
    </row>
    <row r="11" spans="1:19" s="43" customFormat="1" ht="409.5" customHeight="1">
      <c r="A11" s="39">
        <v>10</v>
      </c>
      <c r="B11" s="40" t="s">
        <v>158</v>
      </c>
      <c r="C11" s="40">
        <v>2014</v>
      </c>
      <c r="D11" s="40" t="s">
        <v>159</v>
      </c>
      <c r="E11" s="40" t="s">
        <v>160</v>
      </c>
      <c r="F11" s="40" t="s">
        <v>161</v>
      </c>
      <c r="G11" s="40" t="s">
        <v>162</v>
      </c>
      <c r="H11" s="40" t="s">
        <v>163</v>
      </c>
      <c r="I11" s="40" t="s">
        <v>164</v>
      </c>
      <c r="J11" s="40" t="s">
        <v>165</v>
      </c>
      <c r="K11" s="40" t="s">
        <v>166</v>
      </c>
      <c r="L11" s="40" t="s">
        <v>167</v>
      </c>
      <c r="M11" s="41" t="s">
        <v>168</v>
      </c>
      <c r="N11" s="42" t="s">
        <v>61</v>
      </c>
      <c r="O11" s="42" t="s">
        <v>169</v>
      </c>
      <c r="P11" s="40" t="s">
        <v>140</v>
      </c>
      <c r="Q11" s="40" t="s">
        <v>170</v>
      </c>
      <c r="R11" s="40" t="s">
        <v>171</v>
      </c>
      <c r="S11" s="40" t="s">
        <v>172</v>
      </c>
    </row>
    <row r="12" spans="1:19" s="43" customFormat="1" ht="409.5" customHeight="1">
      <c r="A12" s="39">
        <v>11</v>
      </c>
      <c r="B12" s="40" t="s">
        <v>173</v>
      </c>
      <c r="C12" s="40">
        <v>2019</v>
      </c>
      <c r="D12" s="40" t="s">
        <v>174</v>
      </c>
      <c r="E12" s="40" t="s">
        <v>175</v>
      </c>
      <c r="F12" s="40" t="s">
        <v>176</v>
      </c>
      <c r="G12" s="40" t="s">
        <v>177</v>
      </c>
      <c r="H12" s="40" t="s">
        <v>178</v>
      </c>
      <c r="I12" s="40" t="s">
        <v>134</v>
      </c>
      <c r="J12" s="40" t="s">
        <v>179</v>
      </c>
      <c r="K12" s="40" t="s">
        <v>180</v>
      </c>
      <c r="L12" s="40" t="s">
        <v>181</v>
      </c>
      <c r="M12" s="41" t="s">
        <v>182</v>
      </c>
      <c r="N12" s="42" t="s">
        <v>138</v>
      </c>
      <c r="O12" s="42" t="s">
        <v>183</v>
      </c>
      <c r="P12" s="40" t="s">
        <v>140</v>
      </c>
      <c r="Q12" s="40" t="s">
        <v>184</v>
      </c>
      <c r="R12" s="40" t="s">
        <v>185</v>
      </c>
      <c r="S12" s="40" t="s">
        <v>186</v>
      </c>
    </row>
    <row r="13" spans="1:19" s="43" customFormat="1" ht="409.5" customHeight="1">
      <c r="A13" s="39">
        <v>12</v>
      </c>
      <c r="B13" s="40" t="s">
        <v>187</v>
      </c>
      <c r="C13" s="40">
        <v>2017</v>
      </c>
      <c r="D13" s="40" t="s">
        <v>188</v>
      </c>
      <c r="E13" s="40" t="s">
        <v>189</v>
      </c>
      <c r="F13" s="40" t="s">
        <v>190</v>
      </c>
      <c r="G13" s="40" t="s">
        <v>191</v>
      </c>
      <c r="H13" s="40" t="s">
        <v>192</v>
      </c>
      <c r="I13" s="40" t="s">
        <v>193</v>
      </c>
      <c r="J13" s="40" t="s">
        <v>194</v>
      </c>
      <c r="K13" s="40" t="s">
        <v>195</v>
      </c>
      <c r="L13" s="40" t="s">
        <v>196</v>
      </c>
      <c r="M13" s="41" t="s">
        <v>197</v>
      </c>
      <c r="N13" s="42" t="s">
        <v>61</v>
      </c>
      <c r="O13" s="42" t="s">
        <v>198</v>
      </c>
      <c r="P13" s="40" t="s">
        <v>140</v>
      </c>
      <c r="Q13" s="40" t="s">
        <v>199</v>
      </c>
      <c r="R13" s="40" t="s">
        <v>200</v>
      </c>
      <c r="S13" s="40" t="s">
        <v>201</v>
      </c>
    </row>
    <row r="14" spans="1:19" s="43" customFormat="1" ht="409.5" customHeight="1">
      <c r="A14" s="39">
        <v>13</v>
      </c>
      <c r="B14" s="40" t="s">
        <v>202</v>
      </c>
      <c r="C14" s="40">
        <v>2023</v>
      </c>
      <c r="D14" s="40" t="s">
        <v>203</v>
      </c>
      <c r="E14" s="40" t="s">
        <v>204</v>
      </c>
      <c r="F14" s="40" t="s">
        <v>205</v>
      </c>
      <c r="G14" s="40" t="s">
        <v>206</v>
      </c>
      <c r="H14" s="40" t="s">
        <v>207</v>
      </c>
      <c r="I14" s="40" t="s">
        <v>208</v>
      </c>
      <c r="J14" s="40" t="s">
        <v>209</v>
      </c>
      <c r="K14" s="40" t="s">
        <v>210</v>
      </c>
      <c r="L14" s="40" t="s">
        <v>181</v>
      </c>
      <c r="M14" s="41" t="s">
        <v>211</v>
      </c>
      <c r="N14" s="42" t="s">
        <v>61</v>
      </c>
      <c r="O14" s="42" t="s">
        <v>212</v>
      </c>
      <c r="P14" s="40" t="s">
        <v>213</v>
      </c>
      <c r="Q14" s="40" t="s">
        <v>214</v>
      </c>
      <c r="R14" s="40" t="s">
        <v>215</v>
      </c>
      <c r="S14" s="40" t="s">
        <v>216</v>
      </c>
    </row>
    <row r="15" spans="1:19" s="43" customFormat="1" ht="409.5" customHeight="1">
      <c r="A15" s="39">
        <v>14</v>
      </c>
      <c r="B15" s="40" t="s">
        <v>217</v>
      </c>
      <c r="C15" s="40">
        <v>2019</v>
      </c>
      <c r="D15" s="40" t="s">
        <v>218</v>
      </c>
      <c r="E15" s="40" t="s">
        <v>219</v>
      </c>
      <c r="F15" s="40" t="s">
        <v>220</v>
      </c>
      <c r="G15" s="40" t="s">
        <v>221</v>
      </c>
      <c r="H15" s="40" t="s">
        <v>222</v>
      </c>
      <c r="I15" s="40" t="s">
        <v>223</v>
      </c>
      <c r="J15" s="40" t="s">
        <v>224</v>
      </c>
      <c r="K15" s="40" t="s">
        <v>225</v>
      </c>
      <c r="L15" s="40" t="s">
        <v>28</v>
      </c>
      <c r="M15" s="41" t="s">
        <v>226</v>
      </c>
      <c r="N15" s="42" t="s">
        <v>106</v>
      </c>
      <c r="O15" s="42" t="s">
        <v>227</v>
      </c>
      <c r="P15" s="40" t="s">
        <v>140</v>
      </c>
      <c r="Q15" s="40" t="s">
        <v>228</v>
      </c>
      <c r="R15" s="40" t="s">
        <v>229</v>
      </c>
      <c r="S15" s="40" t="s">
        <v>230</v>
      </c>
    </row>
    <row r="16" spans="1:19" s="43" customFormat="1" ht="409.5" customHeight="1">
      <c r="A16" s="39">
        <v>15</v>
      </c>
      <c r="B16" s="40" t="s">
        <v>231</v>
      </c>
      <c r="C16" s="40">
        <v>2019</v>
      </c>
      <c r="D16" s="40" t="s">
        <v>232</v>
      </c>
      <c r="E16" s="40" t="s">
        <v>233</v>
      </c>
      <c r="F16" s="40" t="s">
        <v>234</v>
      </c>
      <c r="G16" s="40" t="s">
        <v>235</v>
      </c>
      <c r="H16" s="40" t="s">
        <v>236</v>
      </c>
      <c r="I16" s="40" t="s">
        <v>193</v>
      </c>
      <c r="J16" s="40" t="s">
        <v>237</v>
      </c>
      <c r="K16" s="40" t="s">
        <v>238</v>
      </c>
      <c r="L16" s="40" t="s">
        <v>75</v>
      </c>
      <c r="M16" s="41" t="s">
        <v>239</v>
      </c>
      <c r="N16" s="42" t="s">
        <v>240</v>
      </c>
      <c r="O16" s="42" t="s">
        <v>241</v>
      </c>
      <c r="P16" s="40" t="s">
        <v>242</v>
      </c>
      <c r="Q16" s="40" t="s">
        <v>243</v>
      </c>
      <c r="R16" s="40" t="s">
        <v>244</v>
      </c>
      <c r="S16" s="40" t="s">
        <v>245</v>
      </c>
    </row>
    <row r="17" spans="1:19" s="43" customFormat="1" ht="409.5" customHeight="1">
      <c r="A17" s="39">
        <v>16</v>
      </c>
      <c r="B17" s="40" t="s">
        <v>246</v>
      </c>
      <c r="C17" s="40">
        <v>2022</v>
      </c>
      <c r="D17" s="40" t="s">
        <v>247</v>
      </c>
      <c r="E17" s="40" t="s">
        <v>248</v>
      </c>
      <c r="F17" s="40" t="s">
        <v>249</v>
      </c>
      <c r="G17" s="40" t="s">
        <v>250</v>
      </c>
      <c r="H17" s="40" t="s">
        <v>251</v>
      </c>
      <c r="I17" s="40" t="s">
        <v>252</v>
      </c>
      <c r="J17" s="40" t="s">
        <v>253</v>
      </c>
      <c r="K17" s="40" t="s">
        <v>254</v>
      </c>
      <c r="L17" s="40" t="s">
        <v>75</v>
      </c>
      <c r="M17" s="41" t="s">
        <v>255</v>
      </c>
      <c r="N17" s="42" t="s">
        <v>61</v>
      </c>
      <c r="O17" s="42" t="s">
        <v>256</v>
      </c>
      <c r="P17" s="40" t="s">
        <v>140</v>
      </c>
      <c r="Q17" s="40" t="s">
        <v>257</v>
      </c>
      <c r="R17" s="40" t="s">
        <v>258</v>
      </c>
      <c r="S17" s="40" t="s">
        <v>259</v>
      </c>
    </row>
    <row r="18" spans="1:19" s="43" customFormat="1" ht="409.5" customHeight="1">
      <c r="A18" s="39">
        <v>17</v>
      </c>
      <c r="B18" s="40" t="s">
        <v>260</v>
      </c>
      <c r="C18" s="40">
        <v>2023</v>
      </c>
      <c r="D18" s="40" t="s">
        <v>261</v>
      </c>
      <c r="E18" s="40" t="s">
        <v>262</v>
      </c>
      <c r="F18" s="40" t="s">
        <v>263</v>
      </c>
      <c r="G18" s="40" t="s">
        <v>264</v>
      </c>
      <c r="H18" s="40" t="s">
        <v>265</v>
      </c>
      <c r="I18" s="40" t="s">
        <v>266</v>
      </c>
      <c r="J18" s="40" t="s">
        <v>267</v>
      </c>
      <c r="K18" s="40" t="s">
        <v>268</v>
      </c>
      <c r="L18" s="40" t="s">
        <v>89</v>
      </c>
      <c r="M18" s="41" t="s">
        <v>269</v>
      </c>
      <c r="N18" s="42" t="s">
        <v>61</v>
      </c>
      <c r="O18" s="42" t="s">
        <v>270</v>
      </c>
      <c r="P18" s="40" t="s">
        <v>140</v>
      </c>
      <c r="Q18" s="40" t="s">
        <v>271</v>
      </c>
      <c r="R18" s="40" t="s">
        <v>272</v>
      </c>
      <c r="S18" s="40" t="s">
        <v>273</v>
      </c>
    </row>
    <row r="19" spans="1:19" s="43" customFormat="1" ht="409.5" customHeight="1">
      <c r="A19" s="39">
        <v>18</v>
      </c>
      <c r="B19" s="40" t="s">
        <v>274</v>
      </c>
      <c r="C19" s="40">
        <v>2017</v>
      </c>
      <c r="D19" s="40" t="s">
        <v>275</v>
      </c>
      <c r="E19" s="40" t="s">
        <v>276</v>
      </c>
      <c r="F19" s="40" t="s">
        <v>277</v>
      </c>
      <c r="G19" s="40" t="s">
        <v>278</v>
      </c>
      <c r="H19" s="40" t="s">
        <v>279</v>
      </c>
      <c r="I19" s="40" t="s">
        <v>280</v>
      </c>
      <c r="J19" s="40" t="s">
        <v>281</v>
      </c>
      <c r="K19" s="40" t="s">
        <v>282</v>
      </c>
      <c r="L19" s="40" t="s">
        <v>283</v>
      </c>
      <c r="M19" s="41" t="s">
        <v>284</v>
      </c>
      <c r="N19" s="42" t="s">
        <v>138</v>
      </c>
      <c r="O19" s="42" t="s">
        <v>285</v>
      </c>
      <c r="P19" s="40" t="s">
        <v>286</v>
      </c>
      <c r="Q19" s="40" t="s">
        <v>287</v>
      </c>
      <c r="R19" s="40" t="s">
        <v>288</v>
      </c>
      <c r="S19" s="40" t="s">
        <v>289</v>
      </c>
    </row>
    <row r="20" spans="1:19" s="43" customFormat="1" ht="409.5" customHeight="1">
      <c r="A20" s="39">
        <v>19</v>
      </c>
      <c r="B20" s="40" t="s">
        <v>290</v>
      </c>
      <c r="C20" s="40">
        <v>2025</v>
      </c>
      <c r="D20" s="40" t="s">
        <v>291</v>
      </c>
      <c r="E20" s="40" t="s">
        <v>292</v>
      </c>
      <c r="F20" s="40" t="s">
        <v>293</v>
      </c>
      <c r="G20" s="40" t="s">
        <v>294</v>
      </c>
      <c r="H20" s="40" t="s">
        <v>295</v>
      </c>
      <c r="I20" s="40" t="s">
        <v>296</v>
      </c>
      <c r="J20" s="40" t="s">
        <v>297</v>
      </c>
      <c r="K20" s="40" t="s">
        <v>298</v>
      </c>
      <c r="L20" s="40" t="s">
        <v>28</v>
      </c>
      <c r="M20" s="41" t="s">
        <v>299</v>
      </c>
      <c r="N20" s="42" t="s">
        <v>61</v>
      </c>
      <c r="O20" s="42" t="s">
        <v>300</v>
      </c>
      <c r="P20" s="40" t="s">
        <v>301</v>
      </c>
      <c r="Q20" s="40" t="s">
        <v>302</v>
      </c>
      <c r="R20" s="40" t="s">
        <v>303</v>
      </c>
      <c r="S20" s="40" t="s">
        <v>304</v>
      </c>
    </row>
    <row r="21" spans="1:19" s="43" customFormat="1" ht="409.5" customHeight="1">
      <c r="A21" s="39">
        <v>20</v>
      </c>
      <c r="B21" s="40" t="s">
        <v>305</v>
      </c>
      <c r="C21" s="40">
        <v>2014</v>
      </c>
      <c r="D21" s="40" t="s">
        <v>306</v>
      </c>
      <c r="E21" s="40" t="s">
        <v>307</v>
      </c>
      <c r="F21" s="40" t="s">
        <v>308</v>
      </c>
      <c r="G21" s="40" t="s">
        <v>309</v>
      </c>
      <c r="H21" s="40" t="s">
        <v>310</v>
      </c>
      <c r="I21" s="40" t="s">
        <v>266</v>
      </c>
      <c r="J21" s="40" t="s">
        <v>311</v>
      </c>
      <c r="K21" s="40" t="s">
        <v>312</v>
      </c>
      <c r="L21" s="40" t="s">
        <v>313</v>
      </c>
      <c r="M21" s="41" t="s">
        <v>314</v>
      </c>
      <c r="N21" s="42" t="s">
        <v>61</v>
      </c>
      <c r="O21" s="42" t="s">
        <v>315</v>
      </c>
      <c r="P21" s="40" t="s">
        <v>316</v>
      </c>
      <c r="Q21" s="40" t="s">
        <v>317</v>
      </c>
      <c r="R21" s="40" t="s">
        <v>318</v>
      </c>
      <c r="S21" s="40" t="s">
        <v>319</v>
      </c>
    </row>
    <row r="22" spans="1:19" s="43" customFormat="1" ht="409.5" customHeight="1">
      <c r="A22" s="39">
        <v>21</v>
      </c>
      <c r="B22" s="40" t="s">
        <v>320</v>
      </c>
      <c r="C22" s="40">
        <v>2018</v>
      </c>
      <c r="D22" s="40" t="s">
        <v>321</v>
      </c>
      <c r="E22" s="40" t="s">
        <v>322</v>
      </c>
      <c r="F22" s="40" t="s">
        <v>323</v>
      </c>
      <c r="G22" s="40" t="s">
        <v>324</v>
      </c>
      <c r="H22" s="40" t="s">
        <v>325</v>
      </c>
      <c r="I22" s="40" t="s">
        <v>193</v>
      </c>
      <c r="J22" s="40" t="s">
        <v>326</v>
      </c>
      <c r="K22" s="40" t="s">
        <v>327</v>
      </c>
      <c r="L22" s="40" t="s">
        <v>28</v>
      </c>
      <c r="M22" s="41" t="s">
        <v>328</v>
      </c>
      <c r="N22" s="42" t="s">
        <v>61</v>
      </c>
      <c r="O22" s="42" t="s">
        <v>329</v>
      </c>
      <c r="P22" s="40" t="s">
        <v>140</v>
      </c>
      <c r="Q22" s="40" t="s">
        <v>330</v>
      </c>
      <c r="R22" s="40" t="s">
        <v>331</v>
      </c>
      <c r="S22" s="40" t="s">
        <v>332</v>
      </c>
    </row>
    <row r="23" spans="1:19" s="43" customFormat="1" ht="409.5" customHeight="1">
      <c r="A23" s="39">
        <v>22</v>
      </c>
      <c r="B23" s="40" t="s">
        <v>333</v>
      </c>
      <c r="C23" s="40">
        <v>2016</v>
      </c>
      <c r="D23" s="40" t="s">
        <v>334</v>
      </c>
      <c r="E23" s="40" t="s">
        <v>335</v>
      </c>
      <c r="F23" s="40" t="s">
        <v>336</v>
      </c>
      <c r="G23" s="40" t="s">
        <v>337</v>
      </c>
      <c r="H23" s="40" t="s">
        <v>338</v>
      </c>
      <c r="I23" s="40" t="s">
        <v>339</v>
      </c>
      <c r="J23" s="40" t="s">
        <v>340</v>
      </c>
      <c r="K23" s="40" t="s">
        <v>341</v>
      </c>
      <c r="L23" s="40" t="s">
        <v>28</v>
      </c>
      <c r="M23" s="41" t="s">
        <v>342</v>
      </c>
      <c r="N23" s="42" t="s">
        <v>138</v>
      </c>
      <c r="O23" s="42" t="s">
        <v>343</v>
      </c>
      <c r="P23" s="40" t="s">
        <v>344</v>
      </c>
      <c r="Q23" s="40" t="s">
        <v>345</v>
      </c>
      <c r="R23" s="40" t="s">
        <v>346</v>
      </c>
      <c r="S23" s="40" t="s">
        <v>347</v>
      </c>
    </row>
    <row r="24" spans="1:19" s="43" customFormat="1" ht="409.5" customHeight="1">
      <c r="A24" s="39">
        <v>23</v>
      </c>
      <c r="B24" s="40" t="s">
        <v>348</v>
      </c>
      <c r="C24" s="40">
        <v>2018</v>
      </c>
      <c r="D24" s="40" t="s">
        <v>349</v>
      </c>
      <c r="E24" s="40" t="s">
        <v>350</v>
      </c>
      <c r="F24" s="40" t="s">
        <v>351</v>
      </c>
      <c r="G24" s="40" t="s">
        <v>352</v>
      </c>
      <c r="H24" s="40" t="s">
        <v>353</v>
      </c>
      <c r="I24" s="40" t="s">
        <v>354</v>
      </c>
      <c r="J24" s="40" t="s">
        <v>355</v>
      </c>
      <c r="K24" s="40" t="s">
        <v>356</v>
      </c>
      <c r="L24" s="40" t="s">
        <v>357</v>
      </c>
      <c r="M24" s="41" t="s">
        <v>358</v>
      </c>
      <c r="N24" s="42" t="s">
        <v>61</v>
      </c>
      <c r="O24" s="42" t="s">
        <v>359</v>
      </c>
      <c r="P24" s="40" t="s">
        <v>140</v>
      </c>
      <c r="Q24" s="40" t="s">
        <v>360</v>
      </c>
      <c r="R24" s="40" t="s">
        <v>361</v>
      </c>
      <c r="S24" s="40" t="s">
        <v>362</v>
      </c>
    </row>
    <row r="25" spans="1:19" s="43" customFormat="1" ht="409.5" customHeight="1">
      <c r="A25" s="39">
        <v>24</v>
      </c>
      <c r="B25" s="40" t="s">
        <v>363</v>
      </c>
      <c r="C25" s="40">
        <v>2018</v>
      </c>
      <c r="D25" s="40" t="s">
        <v>364</v>
      </c>
      <c r="E25" s="40" t="s">
        <v>365</v>
      </c>
      <c r="F25" s="40" t="s">
        <v>366</v>
      </c>
      <c r="G25" s="40" t="s">
        <v>367</v>
      </c>
      <c r="H25" s="40" t="s">
        <v>368</v>
      </c>
      <c r="I25" s="40" t="s">
        <v>369</v>
      </c>
      <c r="J25" s="40" t="s">
        <v>370</v>
      </c>
      <c r="K25" s="40" t="s">
        <v>371</v>
      </c>
      <c r="L25" s="40" t="s">
        <v>75</v>
      </c>
      <c r="M25" s="41" t="s">
        <v>372</v>
      </c>
      <c r="N25" s="42" t="s">
        <v>61</v>
      </c>
      <c r="O25" s="42" t="s">
        <v>373</v>
      </c>
      <c r="P25" s="40" t="s">
        <v>140</v>
      </c>
      <c r="Q25" s="40" t="s">
        <v>374</v>
      </c>
      <c r="R25" s="40" t="s">
        <v>375</v>
      </c>
      <c r="S25" s="40" t="s">
        <v>376</v>
      </c>
    </row>
    <row r="26" spans="1:19" s="43" customFormat="1" ht="409.5" customHeight="1">
      <c r="A26" s="39">
        <v>25</v>
      </c>
      <c r="B26" s="40" t="s">
        <v>377</v>
      </c>
      <c r="C26" s="40">
        <v>2006</v>
      </c>
      <c r="D26" s="40" t="s">
        <v>378</v>
      </c>
      <c r="E26" s="40" t="s">
        <v>379</v>
      </c>
      <c r="F26" s="40" t="s">
        <v>380</v>
      </c>
      <c r="G26" s="40" t="s">
        <v>381</v>
      </c>
      <c r="H26" s="40" t="s">
        <v>382</v>
      </c>
      <c r="I26" s="40" t="s">
        <v>383</v>
      </c>
      <c r="J26" s="40" t="s">
        <v>384</v>
      </c>
      <c r="K26" s="40" t="s">
        <v>385</v>
      </c>
      <c r="L26" s="40" t="s">
        <v>181</v>
      </c>
      <c r="M26" s="41" t="s">
        <v>386</v>
      </c>
      <c r="N26" s="42" t="s">
        <v>106</v>
      </c>
      <c r="O26" s="42" t="s">
        <v>387</v>
      </c>
      <c r="P26" s="40" t="s">
        <v>140</v>
      </c>
      <c r="Q26" s="40" t="s">
        <v>388</v>
      </c>
      <c r="R26" s="40" t="s">
        <v>389</v>
      </c>
      <c r="S26" s="40" t="s">
        <v>390</v>
      </c>
    </row>
    <row r="27" spans="1:19" s="43" customFormat="1" ht="409.5" customHeight="1">
      <c r="A27" s="39">
        <v>26</v>
      </c>
      <c r="B27" s="40" t="s">
        <v>391</v>
      </c>
      <c r="C27" s="40">
        <v>2020</v>
      </c>
      <c r="D27" s="40" t="s">
        <v>392</v>
      </c>
      <c r="E27" s="40" t="s">
        <v>393</v>
      </c>
      <c r="F27" s="40" t="s">
        <v>394</v>
      </c>
      <c r="G27" s="40" t="s">
        <v>395</v>
      </c>
      <c r="H27" s="40" t="s">
        <v>396</v>
      </c>
      <c r="I27" s="40" t="s">
        <v>397</v>
      </c>
      <c r="J27" s="40" t="s">
        <v>398</v>
      </c>
      <c r="K27" s="40" t="s">
        <v>399</v>
      </c>
      <c r="L27" s="40" t="s">
        <v>181</v>
      </c>
      <c r="M27" s="41" t="s">
        <v>400</v>
      </c>
      <c r="N27" s="42" t="s">
        <v>61</v>
      </c>
      <c r="O27" s="42" t="s">
        <v>401</v>
      </c>
      <c r="P27" s="40" t="s">
        <v>140</v>
      </c>
      <c r="Q27" s="40" t="s">
        <v>402</v>
      </c>
      <c r="R27" s="40" t="s">
        <v>403</v>
      </c>
      <c r="S27" s="40" t="s">
        <v>404</v>
      </c>
    </row>
    <row r="28" spans="1:19" s="43" customFormat="1" ht="409.5" customHeight="1">
      <c r="A28" s="39">
        <v>27</v>
      </c>
      <c r="B28" s="40" t="s">
        <v>405</v>
      </c>
      <c r="C28" s="40">
        <v>2020</v>
      </c>
      <c r="D28" s="40" t="s">
        <v>406</v>
      </c>
      <c r="E28" s="40" t="s">
        <v>407</v>
      </c>
      <c r="F28" s="40" t="s">
        <v>408</v>
      </c>
      <c r="G28" s="40" t="s">
        <v>409</v>
      </c>
      <c r="H28" s="40" t="s">
        <v>410</v>
      </c>
      <c r="I28" s="40" t="s">
        <v>411</v>
      </c>
      <c r="J28" s="40" t="s">
        <v>412</v>
      </c>
      <c r="K28" s="40" t="s">
        <v>413</v>
      </c>
      <c r="L28" s="40" t="s">
        <v>196</v>
      </c>
      <c r="M28" s="41" t="s">
        <v>414</v>
      </c>
      <c r="N28" s="42" t="s">
        <v>61</v>
      </c>
      <c r="O28" s="42" t="s">
        <v>415</v>
      </c>
      <c r="P28" s="40" t="s">
        <v>416</v>
      </c>
      <c r="Q28" s="40" t="s">
        <v>417</v>
      </c>
      <c r="R28" s="40" t="s">
        <v>418</v>
      </c>
      <c r="S28" s="40" t="s">
        <v>419</v>
      </c>
    </row>
    <row r="29" spans="1:19" s="43" customFormat="1">
      <c r="A29" s="39"/>
      <c r="B29" s="40"/>
      <c r="C29" s="40"/>
      <c r="D29" s="40"/>
      <c r="E29" s="40"/>
      <c r="F29" s="40"/>
      <c r="G29" s="40"/>
      <c r="H29" s="40"/>
      <c r="I29" s="40"/>
      <c r="J29" s="40"/>
      <c r="K29" s="40"/>
      <c r="L29" s="40"/>
      <c r="M29" s="40"/>
      <c r="N29" s="40"/>
      <c r="O29" s="40"/>
      <c r="P29" s="40"/>
      <c r="Q29" s="40"/>
      <c r="R29" s="40"/>
      <c r="S29" s="40"/>
    </row>
    <row r="30" spans="1:19" s="43" customFormat="1">
      <c r="A30" s="39"/>
      <c r="B30" s="40"/>
      <c r="C30" s="40"/>
      <c r="D30" s="40"/>
      <c r="E30" s="40"/>
      <c r="F30" s="40"/>
      <c r="G30" s="40"/>
      <c r="H30" s="40"/>
      <c r="I30" s="40"/>
      <c r="J30" s="40"/>
      <c r="K30" s="40"/>
      <c r="L30" s="40"/>
      <c r="M30" s="40"/>
      <c r="N30" s="40"/>
      <c r="O30" s="40"/>
      <c r="P30" s="40"/>
      <c r="Q30" s="40"/>
      <c r="R30" s="40"/>
      <c r="S30" s="40"/>
    </row>
    <row r="31" spans="1:19" s="43" customFormat="1">
      <c r="A31" s="39"/>
      <c r="B31" s="40"/>
      <c r="C31" s="40"/>
      <c r="D31" s="40"/>
      <c r="E31" s="40"/>
      <c r="F31" s="40"/>
      <c r="G31" s="40"/>
      <c r="H31" s="40"/>
      <c r="I31" s="40"/>
      <c r="J31" s="40"/>
      <c r="K31" s="40"/>
      <c r="L31" s="40"/>
      <c r="M31" s="40"/>
      <c r="N31" s="40"/>
      <c r="O31" s="40"/>
      <c r="P31" s="40"/>
      <c r="Q31" s="40"/>
      <c r="R31" s="40"/>
      <c r="S31" s="40"/>
    </row>
    <row r="32" spans="1:19" s="43" customFormat="1">
      <c r="A32" s="39"/>
      <c r="B32" s="40"/>
      <c r="C32" s="40"/>
      <c r="D32" s="40"/>
      <c r="E32" s="40"/>
      <c r="F32" s="40"/>
      <c r="G32" s="40"/>
      <c r="H32" s="40"/>
      <c r="I32" s="40"/>
      <c r="J32" s="40"/>
      <c r="K32" s="40"/>
      <c r="L32" s="40"/>
      <c r="M32" s="40"/>
      <c r="N32" s="40"/>
      <c r="O32" s="40"/>
      <c r="P32" s="40"/>
      <c r="Q32" s="40"/>
      <c r="R32" s="40"/>
      <c r="S32" s="40"/>
    </row>
    <row r="33" spans="1:19" s="43" customFormat="1">
      <c r="A33" s="39"/>
      <c r="B33" s="40"/>
      <c r="C33" s="40"/>
      <c r="D33" s="40"/>
      <c r="E33" s="40"/>
      <c r="F33" s="40"/>
      <c r="G33" s="40"/>
      <c r="H33" s="40"/>
      <c r="I33" s="40"/>
      <c r="J33" s="40"/>
      <c r="K33" s="40"/>
      <c r="L33" s="40"/>
      <c r="M33" s="40"/>
      <c r="N33" s="40"/>
      <c r="O33" s="40"/>
      <c r="P33" s="40"/>
      <c r="Q33" s="40"/>
      <c r="R33" s="40"/>
      <c r="S33" s="40"/>
    </row>
    <row r="34" spans="1:19" s="43" customFormat="1">
      <c r="A34" s="39"/>
      <c r="B34" s="40"/>
      <c r="C34" s="40"/>
      <c r="D34" s="40"/>
      <c r="E34" s="40"/>
      <c r="F34" s="40"/>
      <c r="G34" s="40"/>
      <c r="H34" s="40"/>
      <c r="I34" s="40"/>
      <c r="J34" s="40"/>
      <c r="K34" s="40"/>
      <c r="L34" s="40"/>
      <c r="M34" s="40"/>
      <c r="N34" s="40"/>
      <c r="O34" s="40"/>
      <c r="P34" s="40"/>
      <c r="Q34" s="40"/>
      <c r="R34" s="40"/>
      <c r="S34" s="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zoomScale="62" workbookViewId="0">
      <selection activeCell="D10" sqref="D10"/>
    </sheetView>
  </sheetViews>
  <sheetFormatPr defaultRowHeight="14.5"/>
  <cols>
    <col min="1" max="1" width="6" customWidth="1"/>
    <col min="2" max="2" width="70" customWidth="1"/>
    <col min="3" max="3" width="20" customWidth="1"/>
    <col min="4" max="4" width="90" customWidth="1"/>
  </cols>
  <sheetData>
    <row r="1" spans="1:4" ht="18.5">
      <c r="A1" s="48" t="s">
        <v>1108</v>
      </c>
      <c r="B1" s="49"/>
      <c r="C1" s="49"/>
      <c r="D1" s="49"/>
    </row>
    <row r="3" spans="1:4" ht="16">
      <c r="A3" s="46" t="s">
        <v>0</v>
      </c>
      <c r="B3" s="46" t="s">
        <v>1</v>
      </c>
      <c r="C3" s="46" t="s">
        <v>1109</v>
      </c>
      <c r="D3" s="46" t="s">
        <v>1110</v>
      </c>
    </row>
    <row r="4" spans="1:4" ht="80" customHeight="1">
      <c r="A4" s="47">
        <v>1</v>
      </c>
      <c r="B4" s="47" t="s">
        <v>1111</v>
      </c>
      <c r="C4" s="47">
        <v>19</v>
      </c>
      <c r="D4" s="47" t="s">
        <v>1112</v>
      </c>
    </row>
    <row r="5" spans="1:4" ht="80" customHeight="1">
      <c r="A5" s="47">
        <v>2</v>
      </c>
      <c r="B5" s="47" t="s">
        <v>1113</v>
      </c>
      <c r="C5" s="47">
        <v>17</v>
      </c>
      <c r="D5" s="47" t="s">
        <v>1114</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Article Screening</vt:lpstr>
      <vt:lpstr>Themes</vt:lpstr>
      <vt:lpstr>Cell-Only Exclusions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Lim</dc:creator>
  <cp:lastModifiedBy>Raymond Lim</cp:lastModifiedBy>
  <dcterms:created xsi:type="dcterms:W3CDTF">2026-04-01T10:08:07Z</dcterms:created>
  <dcterms:modified xsi:type="dcterms:W3CDTF">2026-06-22T13:36:56Z</dcterms:modified>
</cp:coreProperties>
</file>